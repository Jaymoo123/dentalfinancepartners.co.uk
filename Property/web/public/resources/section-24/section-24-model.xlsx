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9000" firstSheet="0" activeTab="0"/>
  </bookViews>
  <sheets>
    <sheet sheetId="1" name="Rates" state="visible" r:id="rId4"/>
    <sheet sheetId="2" name="Lookups" state="veryHidden" r:id="rId5"/>
    <sheet sheetId="3" name="Your figures" state="visible" r:id="rId6"/>
    <sheet sheetId="4" name="Start here" state="visible" r:id="rId7"/>
    <sheet sheetId="5" name="Notes" state="visible" r:id="rId8"/>
  </sheets>
  <definedNames>
    <definedName name="Rate_Basic">Rates!$B$2</definedName>
    <definedName name="Rate_Higher">Rates!$B$3</definedName>
    <definedName name="Rate_Additional">Rates!$B$4</definedName>
    <definedName name="Reducer_2026">Rates!$B$5</definedName>
    <definedName name="Reducer_2027">Rates!$B$6</definedName>
    <definedName name="CT_Small">Rates!$B$7</definedName>
    <definedName name="CT_Main">Rates!$B$8</definedName>
    <definedName name="CT_Lower">Rates!$B$9</definedName>
    <definedName name="CT_Upper">Rates!$B$10</definedName>
    <definedName name="CT_Fraction">Rates!$B$11</definedName>
    <definedName name="In_Rent">'Your figures'!$B$3</definedName>
    <definedName name="In_Interest">'Your figures'!$B$4</definedName>
    <definedName name="In_Other">'Your figures'!$B$5</definedName>
    <definedName name="In_Band">'Your figures'!$B$6</definedName>
    <definedName name="In_Year">'Your figures'!$B$7</definedName>
    <definedName name="MarginalRate">'Your figures'!$B$9</definedName>
    <definedName name="ReducerRate">'Your figures'!$B$10</definedName>
    <definedName name="ProfitBeforeFinance">'Your figures'!$B$13</definedName>
    <definedName name="S24Before">'Your figures'!$B$15</definedName>
    <definedName name="S24Credit">'Your figures'!$B$16</definedName>
    <definedName name="S24Tax">'Your figures'!$B$17</definedName>
    <definedName name="S24Net">'Your figures'!$B$18</definedName>
    <definedName name="OldTax">'Your figures'!$B$20</definedName>
    <definedName name="CoProfit">'Your figures'!$E$13</definedName>
    <definedName name="CoTax">'Your figures'!$E$14</definedName>
  </definedNames>
  <calcPr calcId="171027"/>
</workbook>
</file>

<file path=xl/sharedStrings.xml><?xml version="1.0" encoding="utf-8"?>
<sst xmlns="http://schemas.openxmlformats.org/spreadsheetml/2006/main" count="82" uniqueCount="73">
  <si>
    <t>Locked rates — do not edit</t>
  </si>
  <si>
    <t>Income tax — basic rate</t>
  </si>
  <si>
    <t>Income tax — higher rate</t>
  </si>
  <si>
    <t>Income tax — additional rate</t>
  </si>
  <si>
    <t>Section 24 finance-cost credit (2026/27)</t>
  </si>
  <si>
    <t>Section 24 finance-cost credit (2027/28)</t>
  </si>
  <si>
    <t>Corporation Tax — small profits rate</t>
  </si>
  <si>
    <t>Corporation Tax — main rate</t>
  </si>
  <si>
    <t>Corporation Tax — lower limit (£)</t>
  </si>
  <si>
    <t>Corporation Tax — upper limit (£)</t>
  </si>
  <si>
    <t>Corporation Tax — marginal fraction</t>
  </si>
  <si>
    <t>Band</t>
  </si>
  <si>
    <t>Rate</t>
  </si>
  <si>
    <t>Year</t>
  </si>
  <si>
    <t>Reducer</t>
  </si>
  <si>
    <t>Basic rate (20%)</t>
  </si>
  <si>
    <t>2026/27 (20% credit)</t>
  </si>
  <si>
    <t>Higher rate (40%)</t>
  </si>
  <si>
    <t>2027/28 (22% credit)</t>
  </si>
  <si>
    <t>Additional rate (45%)</t>
  </si>
  <si>
    <t>Your figures — edit the blue cells</t>
  </si>
  <si>
    <t>Annual rental income</t>
  </si>
  <si>
    <t>Annual mortgage interest</t>
  </si>
  <si>
    <t>Other running costs</t>
  </si>
  <si>
    <t>Your income tax band</t>
  </si>
  <si>
    <t>Tax year</t>
  </si>
  <si>
    <t>Marginal income tax rate</t>
  </si>
  <si>
    <t>Section 24 finance-cost credit rate</t>
  </si>
  <si>
    <t>You — individual under Section 24</t>
  </si>
  <si>
    <t>A company — outside Section 24</t>
  </si>
  <si>
    <t>Rental profit before interest</t>
  </si>
  <si>
    <t>Profit (interest deducted in full)</t>
  </si>
  <si>
    <t>Taxable rental profit (interest not deducted)</t>
  </si>
  <si>
    <t>Corporation Tax</t>
  </si>
  <si>
    <t>Tax before finance-cost credit</t>
  </si>
  <si>
    <t>Effective Corporation Tax rate</t>
  </si>
  <si>
    <t>Finance-cost credit (capped)</t>
  </si>
  <si>
    <t>Retained in company after CT</t>
  </si>
  <si>
    <t>Income tax payable</t>
  </si>
  <si>
    <t>Net cash profit after tax</t>
  </si>
  <si>
    <t>Tax difference (company − you)</t>
  </si>
  <si>
    <t>Company tax minus your income tax</t>
  </si>
  <si>
    <t>Old system tax (interest fully deductible)</t>
  </si>
  <si>
    <t>(negative = a company pays less tax here)</t>
  </si>
  <si>
    <t>Extra tax caused by Section 24</t>
  </si>
  <si>
    <t>Section 24 personal vs company model</t>
  </si>
  <si>
    <t/>
  </si>
  <si>
    <t>This spreadsheet shows, for one property or a whole portfolio, the income tax you pay as an</t>
  </si>
  <si>
    <t>individual under the Section 24 finance-cost restriction versus the Corporation Tax a company</t>
  </si>
  <si>
    <t>would pay on the same lettings, plus the difference between them.</t>
  </si>
  <si>
    <t>How to use it:</t>
  </si>
  <si>
    <t>1. Go to the 'Your figures' tab.</t>
  </si>
  <si>
    <t>2. Edit only the blue cells: rental income, mortgage interest, other costs, your tax band and year.</t>
  </si>
  <si>
    <t>3. Everything else updates automatically.</t>
  </si>
  <si>
    <t>The 'Rates' tab holds the locked tax rates and is the same source the website calculator uses.</t>
  </si>
  <si>
    <t>Read the 'Notes' tab for the assumptions and what this model does NOT cover.</t>
  </si>
  <si>
    <t>Assumptions and limitations</t>
  </si>
  <si>
    <t>• Section 24: individual landlords cannot deduct mortgage interest / finance costs from rental</t>
  </si>
  <si>
    <t xml:space="preserve">  profit. Instead a basic-rate tax credit is given — 20% for 2026/27, rising to 22% from 2027/28</t>
  </si>
  <si>
    <t xml:space="preserve">  (Finance Act 2026). The credit is capped at the lower of the credit rate times the finance costs</t>
  </si>
  <si>
    <t xml:space="preserve">  and the credit rate times the rental profit before finance costs. A third cap (a percentage of</t>
  </si>
  <si>
    <t xml:space="preserve">  total taxable income) is not modelled here because a single-property/portfolio model cannot see</t>
  </si>
  <si>
    <t xml:space="preserve">  your other income.</t>
  </si>
  <si>
    <t>• 'Old system' tax (interest fully deductible at your marginal rate) is shown only to quantify what</t>
  </si>
  <si>
    <t xml:space="preserve">  Section 24 costs you. It is not a current option for individuals.</t>
  </si>
  <si>
    <t>• Company: a company is outside Section 24 and deducts interest in full before Corporation Tax</t>
  </si>
  <si>
    <t xml:space="preserve">  (19% on profits up to £50,000, 25% on profits of £250,000 or more, with marginal relief between).</t>
  </si>
  <si>
    <t xml:space="preserve">  The company figure is Corporation Tax on retained profit only — taking the money out as salary or</t>
  </si>
  <si>
    <t xml:space="preserve">  dividends is taxed again personally and is NOT modelled here.</t>
  </si>
  <si>
    <t>• Moving an existing portfolio into a company can trigger Capital Gains Tax and Stamp Duty Land Tax,</t>
  </si>
  <si>
    <t xml:space="preserve">  which are not in this model.</t>
  </si>
  <si>
    <t>• Figures are rounded and use 2026/27 rates unless you pick 2027/28. This is general guidance, not</t>
  </si>
  <si>
    <t xml:space="preserve">  advice for your specific situation. Speak to a property tax specialist before acting.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</si>
</sst>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######"/>
    <numFmt numFmtId="165" formatCode="£#,##0"/>
    <numFmt numFmtId="166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0F172A"/>
    </font>
    <font>
      <i/>
      <color rgb="FF64748B"/>
      <sz val="10"/>
    </font>
    <font>
      <b/>
      <color rgb="FF0F172A"/>
      <sz val="16"/>
    </font>
    <font>
      <b/>
      <color rgb="FF0F172A"/>
      <sz val="12"/>
    </font>
    <font>
      <b/>
      <color rgb="FF0F172A"/>
      <sz val="14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/>
    <xf numFmtId="164" fontId="0" fillId="0" borderId="0" xfId="0" applyNumberFormat="1"/>
    <xf numFmtId="165" fontId="0" fillId="3" borderId="0" xfId="0" applyNumberFormat="1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Alignment="1">
      <alignment wrapText="1"/>
    </xf>
    <xf numFmtId="165" fontId="0" fillId="0" borderId="0" xfId="0" applyNumberFormat="1"/>
    <xf numFmtId="166" fontId="0" fillId="0" borderId="0" xfId="0" applyNumberFormat="1"/>
    <xf numFmtId="0" fontId="1" fillId="4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4" fillId="5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B11"/>
  <sheetFormatPr defaultRowHeight="15" outlineLevelRow="0" outlineLevelCol="0" x14ac:dyDescent="55"/>
  <cols>
    <col min="1" max="1" width="46" style="1" customWidth="1"/>
    <col min="2" max="2" width="16" customWidth="1"/>
  </cols>
  <sheetData>
    <row r="1" spans="1:2" x14ac:dyDescent="0.25">
      <c r="A1" s="2" t="s">
        <v>0</v>
      </c>
      <c r="B1" s="2"/>
    </row>
    <row r="2" spans="1:2" x14ac:dyDescent="0.25">
      <c r="A2" s="3" t="s">
        <v>1</v>
      </c>
      <c r="B2" s="4">
        <v>0.2</v>
      </c>
    </row>
    <row r="3" spans="1:2" x14ac:dyDescent="0.25">
      <c r="A3" s="3" t="s">
        <v>2</v>
      </c>
      <c r="B3" s="4">
        <v>0.4</v>
      </c>
    </row>
    <row r="4" spans="1:2" x14ac:dyDescent="0.25">
      <c r="A4" s="3" t="s">
        <v>3</v>
      </c>
      <c r="B4" s="4">
        <v>0.45</v>
      </c>
    </row>
    <row r="5" spans="1:2" x14ac:dyDescent="0.25">
      <c r="A5" s="3" t="s">
        <v>4</v>
      </c>
      <c r="B5" s="4">
        <v>0.2</v>
      </c>
    </row>
    <row r="6" spans="1:2" x14ac:dyDescent="0.25">
      <c r="A6" s="3" t="s">
        <v>5</v>
      </c>
      <c r="B6" s="4">
        <v>0.22</v>
      </c>
    </row>
    <row r="7" spans="1:2" x14ac:dyDescent="0.25">
      <c r="A7" s="3" t="s">
        <v>6</v>
      </c>
      <c r="B7" s="4">
        <v>0.19</v>
      </c>
    </row>
    <row r="8" spans="1:2" x14ac:dyDescent="0.25">
      <c r="A8" s="3" t="s">
        <v>7</v>
      </c>
      <c r="B8" s="4">
        <v>0.25</v>
      </c>
    </row>
    <row r="9" spans="1:2" x14ac:dyDescent="0.25">
      <c r="A9" s="3" t="s">
        <v>8</v>
      </c>
      <c r="B9" s="5">
        <v>50000</v>
      </c>
    </row>
    <row r="10" spans="1:2" x14ac:dyDescent="0.25">
      <c r="A10" s="3" t="s">
        <v>9</v>
      </c>
      <c r="B10" s="5">
        <v>250000</v>
      </c>
    </row>
    <row r="11" spans="1:2" x14ac:dyDescent="0.25">
      <c r="A11" s="3" t="s">
        <v>10</v>
      </c>
      <c r="B11" s="5">
        <v>0.015</v>
      </c>
    </row>
  </sheetData>
  <sheetProtection sheet="1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11</v>
      </c>
      <c r="B1" t="s">
        <v>12</v>
      </c>
      <c r="D1" t="s">
        <v>13</v>
      </c>
      <c r="E1" t="s">
        <v>14</v>
      </c>
    </row>
    <row r="2" spans="1:5" x14ac:dyDescent="0.25">
      <c r="A2" t="s">
        <v>15</v>
      </c>
      <c r="B2">
        <f>Rate_Basic</f>
      </c>
      <c r="D2" t="s">
        <v>16</v>
      </c>
      <c r="E2">
        <f>Reducer_2026</f>
      </c>
    </row>
    <row r="3" spans="1:5" x14ac:dyDescent="0.25">
      <c r="A3" t="s">
        <v>17</v>
      </c>
      <c r="B3">
        <f>Rate_Higher</f>
      </c>
      <c r="D3" t="s">
        <v>18</v>
      </c>
      <c r="E3">
        <f>Reducer_2027</f>
      </c>
    </row>
    <row r="4" spans="1:2" x14ac:dyDescent="0.25">
      <c r="A4" t="s">
        <v>19</v>
      </c>
      <c r="B4">
        <f>Rate_Additional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A1:E21"/>
  <sheetFormatPr defaultRowHeight="15" outlineLevelRow="0" outlineLevelCol="0" x14ac:dyDescent="55"/>
  <cols>
    <col min="1" max="1" width="44" style="1" customWidth="1"/>
    <col min="2" max="2" width="18" customWidth="1"/>
    <col min="3" max="3" width="4" customWidth="1"/>
    <col min="4" max="4" width="44" style="1" customWidth="1"/>
    <col min="5" max="5" width="18" customWidth="1"/>
  </cols>
  <sheetData>
    <row r="1" spans="1:4" x14ac:dyDescent="0.25">
      <c r="A1" s="2" t="s">
        <v>20</v>
      </c>
      <c r="B1" s="2"/>
      <c r="D1" s="1"/>
    </row>
    <row r="3" spans="1:4" x14ac:dyDescent="0.25">
      <c r="A3" s="3" t="s">
        <v>21</v>
      </c>
      <c r="B3" s="6">
        <v>50000</v>
      </c>
      <c r="D3" s="1"/>
    </row>
    <row r="4" spans="1:4" x14ac:dyDescent="0.25">
      <c r="A4" s="3" t="s">
        <v>22</v>
      </c>
      <c r="B4" s="6">
        <v>20000</v>
      </c>
      <c r="D4" s="1"/>
    </row>
    <row r="5" spans="1:4" x14ac:dyDescent="0.25">
      <c r="A5" s="3" t="s">
        <v>23</v>
      </c>
      <c r="B5" s="6">
        <v>8000</v>
      </c>
      <c r="D5" s="1"/>
    </row>
    <row r="6" spans="1:4" x14ac:dyDescent="0.25">
      <c r="A6" s="3" t="s">
        <v>24</v>
      </c>
      <c r="B6" s="7" t="s">
        <v>17</v>
      </c>
      <c r="D6" s="1"/>
    </row>
    <row r="7" spans="1:4" x14ac:dyDescent="0.25">
      <c r="A7" s="3" t="s">
        <v>25</v>
      </c>
      <c r="B7" s="7" t="s">
        <v>16</v>
      </c>
      <c r="D7" s="1"/>
    </row>
    <row r="9" spans="1:4" x14ac:dyDescent="0.25">
      <c r="A9" s="3" t="s">
        <v>26</v>
      </c>
      <c r="B9" s="4">
        <f>VLOOKUP(In_Band,Lookups!$A$2:$B$4,2,FALSE)</f>
      </c>
      <c r="D9" s="1"/>
    </row>
    <row r="10" spans="1:4" x14ac:dyDescent="0.25">
      <c r="A10" s="3" t="s">
        <v>27</v>
      </c>
      <c r="B10" s="4">
        <f>VLOOKUP(In_Year,Lookups!$D$2:$E$3,2,FALSE)</f>
      </c>
      <c r="D10" s="1"/>
    </row>
    <row r="12" spans="1:5" x14ac:dyDescent="0.25">
      <c r="A12" s="2" t="s">
        <v>28</v>
      </c>
      <c r="B12" s="2"/>
      <c r="D12" s="2" t="s">
        <v>29</v>
      </c>
      <c r="E12" s="2"/>
    </row>
    <row r="13" spans="1:5" x14ac:dyDescent="0.25">
      <c r="A13" s="8" t="s">
        <v>30</v>
      </c>
      <c r="B13" s="9">
        <f>In_Rent-In_Other</f>
      </c>
      <c r="D13" s="8" t="s">
        <v>31</v>
      </c>
      <c r="E13" s="9">
        <f>MAX(0,ProfitBeforeFinance-In_Interest)</f>
      </c>
    </row>
    <row r="14" spans="1:5" x14ac:dyDescent="0.25">
      <c r="A14" s="8" t="s">
        <v>32</v>
      </c>
      <c r="B14" s="9">
        <f>MAX(0,ProfitBeforeFinance)</f>
      </c>
      <c r="D14" s="8" t="s">
        <v>33</v>
      </c>
      <c r="E14" s="9">
        <f>IF(CoProfit&lt;=0,0,IF(CoProfit&lt;=CT_Lower,CoProfit*CT_Small,IF(CoProfit&gt;=CT_Upper,CoProfit*CT_Main,CoProfit*CT_Main-(CT_Upper-CoProfit)*CT_Fraction)))</f>
      </c>
    </row>
    <row r="15" spans="1:5" x14ac:dyDescent="0.25">
      <c r="A15" s="8" t="s">
        <v>34</v>
      </c>
      <c r="B15" s="9">
        <f>MAX(0,ProfitBeforeFinance)*MarginalRate</f>
      </c>
      <c r="D15" s="8" t="s">
        <v>35</v>
      </c>
      <c r="E15" s="10">
        <f>IF(CoProfit&gt;0,CoTax/CoProfit,0)</f>
      </c>
    </row>
    <row r="16" spans="1:5" x14ac:dyDescent="0.25">
      <c r="A16" s="8" t="s">
        <v>36</v>
      </c>
      <c r="B16" s="9">
        <f>MIN(In_Interest,MAX(0,ProfitBeforeFinance))*ReducerRate</f>
      </c>
      <c r="D16" s="8" t="s">
        <v>37</v>
      </c>
      <c r="E16" s="9">
        <f>ProfitBeforeFinance-In_Interest-CoTax</f>
      </c>
    </row>
    <row r="17" spans="1:4" x14ac:dyDescent="0.25">
      <c r="A17" s="8" t="s">
        <v>38</v>
      </c>
      <c r="B17" s="9">
        <f>MAX(0,S24Before-S24Credit)</f>
      </c>
      <c r="D17" s="8"/>
    </row>
    <row r="18" spans="1:5" x14ac:dyDescent="0.25">
      <c r="A18" s="8" t="s">
        <v>39</v>
      </c>
      <c r="B18" s="9">
        <f>ProfitBeforeFinance-In_Interest-S24Tax</f>
      </c>
      <c r="D18" s="11" t="s">
        <v>40</v>
      </c>
      <c r="E18" s="11"/>
    </row>
    <row r="19" spans="1:5" x14ac:dyDescent="0.25">
      <c r="A19" s="8"/>
      <c r="D19" s="8" t="s">
        <v>41</v>
      </c>
      <c r="E19" s="9">
        <f>CoTax-S24Tax</f>
      </c>
    </row>
    <row r="20" spans="1:4" x14ac:dyDescent="0.25">
      <c r="A20" s="8" t="s">
        <v>42</v>
      </c>
      <c r="B20" s="9">
        <f>MAX(0,ProfitBeforeFinance-In_Interest)*MarginalRate</f>
      </c>
      <c r="D20" s="12" t="s">
        <v>43</v>
      </c>
    </row>
    <row r="21" spans="1:4" x14ac:dyDescent="0.25">
      <c r="A21" s="13" t="s">
        <v>44</v>
      </c>
      <c r="B21" s="9">
        <f>S24Tax-OldTax</f>
      </c>
      <c r="D21" s="8"/>
    </row>
  </sheetData>
  <mergeCells count="4">
    <mergeCell ref="A1:B1"/>
    <mergeCell ref="A12:B12"/>
    <mergeCell ref="D12:E12"/>
    <mergeCell ref="D18:E18"/>
  </mergeCells>
  <dataValidations count="2">
    <dataValidation type="list" sqref="B6">
      <formula1>"Basic rate (20%),Higher rate (40%),Additional rate (45%)"</formula1>
    </dataValidation>
    <dataValidation type="list" sqref="B7">
      <formula1>"2026/27 (20% credit),2027/28 (22% credit)"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A13"/>
  <sheetFormatPr defaultRowHeight="15" outlineLevelRow="0" outlineLevelCol="0" x14ac:dyDescent="55"/>
  <cols>
    <col min="1" max="1" width="90" customWidth="1"/>
  </cols>
  <sheetData>
    <row r="1" spans="1:1" x14ac:dyDescent="0.25">
      <c r="A1" s="14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46</v>
      </c>
    </row>
    <row r="7" spans="1:1" x14ac:dyDescent="0.25">
      <c r="A7" s="15" t="s">
        <v>50</v>
      </c>
    </row>
    <row r="8" spans="1:1" x14ac:dyDescent="0.25">
      <c r="A8" t="s">
        <v>51</v>
      </c>
    </row>
    <row r="9" spans="1:1" x14ac:dyDescent="0.25">
      <c r="A9" t="s">
        <v>52</v>
      </c>
    </row>
    <row r="10" spans="1:1" x14ac:dyDescent="0.25">
      <c r="A10" t="s">
        <v>53</v>
      </c>
    </row>
    <row r="11" spans="1:1" x14ac:dyDescent="0.25">
      <c r="A11" t="s">
        <v>46</v>
      </c>
    </row>
    <row r="12" spans="1:1" x14ac:dyDescent="0.25">
      <c r="A12" t="s">
        <v>54</v>
      </c>
    </row>
    <row r="13" spans="1:1" x14ac:dyDescent="0.25">
      <c r="A1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00" customWidth="1"/>
  </cols>
  <sheetData>
    <row r="1" spans="1:1" x14ac:dyDescent="0.25">
      <c r="A1" s="16" t="s">
        <v>56</v>
      </c>
    </row>
    <row r="2" spans="1:1" x14ac:dyDescent="0.25">
      <c r="A2" t="s">
        <v>46</v>
      </c>
    </row>
    <row r="3" spans="1:1" x14ac:dyDescent="0.25">
      <c r="A3" t="s">
        <v>57</v>
      </c>
    </row>
    <row r="4" spans="1:1" x14ac:dyDescent="0.25">
      <c r="A4" t="s">
        <v>58</v>
      </c>
    </row>
    <row r="5" spans="1:1" x14ac:dyDescent="0.25">
      <c r="A5" t="s">
        <v>59</v>
      </c>
    </row>
    <row r="6" spans="1:1" x14ac:dyDescent="0.25">
      <c r="A6" t="s">
        <v>60</v>
      </c>
    </row>
    <row r="7" spans="1:1" x14ac:dyDescent="0.25">
      <c r="A7" t="s">
        <v>61</v>
      </c>
    </row>
    <row r="8" spans="1:1" x14ac:dyDescent="0.25">
      <c r="A8" t="s">
        <v>62</v>
      </c>
    </row>
    <row r="9" spans="1:1" x14ac:dyDescent="0.25">
      <c r="A9" t="s">
        <v>46</v>
      </c>
    </row>
    <row r="10" spans="1:1" x14ac:dyDescent="0.25">
      <c r="A10" t="s">
        <v>63</v>
      </c>
    </row>
    <row r="11" spans="1:1" x14ac:dyDescent="0.25">
      <c r="A11" t="s">
        <v>64</v>
      </c>
    </row>
    <row r="12" spans="1:1" x14ac:dyDescent="0.25">
      <c r="A12" t="s">
        <v>46</v>
      </c>
    </row>
    <row r="13" spans="1:1" x14ac:dyDescent="0.25">
      <c r="A13" t="s">
        <v>65</v>
      </c>
    </row>
    <row r="14" spans="1:1" x14ac:dyDescent="0.25">
      <c r="A14" t="s">
        <v>66</v>
      </c>
    </row>
    <row r="15" spans="1:1" x14ac:dyDescent="0.25">
      <c r="A15" t="s">
        <v>67</v>
      </c>
    </row>
    <row r="16" spans="1:1" x14ac:dyDescent="0.25">
      <c r="A16" t="s">
        <v>68</v>
      </c>
    </row>
    <row r="17" spans="1:1" x14ac:dyDescent="0.25">
      <c r="A17" t="s">
        <v>46</v>
      </c>
    </row>
    <row r="18" spans="1:1" x14ac:dyDescent="0.25">
      <c r="A18" t="s">
        <v>69</v>
      </c>
    </row>
    <row r="19" spans="1:1" x14ac:dyDescent="0.25">
      <c r="A19" t="s">
        <v>70</v>
      </c>
    </row>
    <row r="20" spans="1:1" x14ac:dyDescent="0.25">
      <c r="A20" t="s">
        <v>46</v>
      </c>
    </row>
    <row r="21" spans="1:1" x14ac:dyDescent="0.25">
      <c r="A21" t="s">
        <v>71</v>
      </c>
    </row>
    <row r="22" spans="1:1" x14ac:dyDescent="0.25">
      <c r="A2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Rates</vt:lpstr>
      <vt:lpstr>Lookups</vt:lpstr>
      <vt:lpstr>Your figures</vt:lpstr>
      <vt:lpstr>Start here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Tax Partners</dc:creator>
  <dc:title/>
  <dc:subject/>
  <dc:description/>
  <cp:keywords/>
  <cp:category/>
  <cp:lastModifiedBy>Property Tax Partners</cp:lastModifiedBy>
  <dcterms:created xsi:type="dcterms:W3CDTF">2024-01-01T00:00:00Z</dcterms:created>
  <dcterms:modified xsi:type="dcterms:W3CDTF">2024-01-01T00:00:00Z</dcterms:modified>
</cp:coreProperties>
</file>