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0"/>
  </bookViews>
  <sheets>
    <sheet sheetId="1" name="Rates" state="visible" r:id="rId4"/>
    <sheet sheetId="2" name="Your figures" state="visible" r:id="rId5"/>
    <sheet sheetId="3" name="Start here" state="visible" r:id="rId6"/>
    <sheet sheetId="4" name="Notes" state="visible" r:id="rId7"/>
  </sheets>
  <definedNames>
    <definedName name="Std_T1">Rates!$B$2</definedName>
    <definedName name="Std_T2">Rates!$B$3</definedName>
    <definedName name="Std_T3">Rates!$B$4</definedName>
    <definedName name="Std_T4">Rates!$B$5</definedName>
    <definedName name="Std_R1">Rates!$B$6</definedName>
    <definedName name="Std_R2">Rates!$B$7</definedName>
    <definedName name="Std_R3">Rates!$B$8</definedName>
    <definedName name="Std_R4">Rates!$B$9</definedName>
    <definedName name="Std_R5">Rates!$B$10</definedName>
    <definedName name="Ftb_T1">Rates!$B$11</definedName>
    <definedName name="Ftb_T2">Rates!$B$12</definedName>
    <definedName name="Ftb_R1">Rates!$B$13</definedName>
    <definedName name="Ftb_R2">Rates!$B$14</definedName>
    <definedName name="Ftb_Cap">Rates!$B$15</definedName>
    <definedName name="Surcharge_Add">Rates!$B$16</definedName>
    <definedName name="Surcharge_NonRes">Rates!$B$17</definedName>
    <definedName name="Price">'Your figures'!$B$3</definedName>
    <definedName name="StdBase">'Your figures'!$B$5</definedName>
    <definedName name="AddSurcharge">'Your figures'!$B$6</definedName>
    <definedName name="NonResSurcharge">'Your figures'!$B$7</definedName>
    <definedName name="AdditionalTotal">'Your figures'!$B$11</definedName>
  </definedNames>
  <calcPr calcId="171027"/>
</workbook>
</file>

<file path=xl/sharedStrings.xml><?xml version="1.0" encoding="utf-8"?>
<sst xmlns="http://schemas.openxmlformats.org/spreadsheetml/2006/main" count="74" uniqueCount="64">
  <si>
    <t>Locked rates — do not edit</t>
  </si>
  <si>
    <t>Standard band 1 upper (£)</t>
  </si>
  <si>
    <t>Standard band 2 upper (£)</t>
  </si>
  <si>
    <t>Standard band 3 upper (£)</t>
  </si>
  <si>
    <t>Standard band 4 upper (£)</t>
  </si>
  <si>
    <t>Standard band 1 rate (to T1)</t>
  </si>
  <si>
    <t>Standard band 2 rate (T1–T2)</t>
  </si>
  <si>
    <t>Standard band 3 rate (T2–T3)</t>
  </si>
  <si>
    <t>Standard band 4 rate (T3–T4)</t>
  </si>
  <si>
    <t>Standard top rate (above T4)</t>
  </si>
  <si>
    <t>First-time-buyer band 1 upper (£)</t>
  </si>
  <si>
    <t>First-time-buyer band 2 upper (£)</t>
  </si>
  <si>
    <t>First-time-buyer band 1 rate (to T1)</t>
  </si>
  <si>
    <t>First-time-buyer band 2 rate (T1–T2)</t>
  </si>
  <si>
    <t>First-time-buyer relief price cap (£)</t>
  </si>
  <si>
    <t>Additional-dwelling surcharge</t>
  </si>
  <si>
    <t>Non-UK-resident surcharge</t>
  </si>
  <si>
    <t>Your figures — edit the blue cell</t>
  </si>
  <si>
    <t>Purchase price</t>
  </si>
  <si>
    <t>Standard band SDLT (no surcharge)</t>
  </si>
  <si>
    <t>Additional-dwelling surcharge (5% of price)</t>
  </si>
  <si>
    <t>Non-resident surcharge (2% of price)</t>
  </si>
  <si>
    <t>SDLT by buyer type</t>
  </si>
  <si>
    <t>Standard — replacement main home</t>
  </si>
  <si>
    <t>Additional property (buy-to-let / second home)</t>
  </si>
  <si>
    <t>Non-resident buy-to-let (+2% and +5%)</t>
  </si>
  <si>
    <t>First-time buyer (relief, withdrawn above cap)</t>
  </si>
  <si>
    <t>What the surcharges add</t>
  </si>
  <si>
    <t>Extra cost of the 5% additional-property surcharge</t>
  </si>
  <si>
    <t>Extra again as a non-UK resident (the 2%)</t>
  </si>
  <si>
    <t>Effective rate on an additional property</t>
  </si>
  <si>
    <t>Stamp Duty (SDLT) by buyer type</t>
  </si>
  <si>
    <t/>
  </si>
  <si>
    <t>This spreadsheet works out the Stamp Duty Land Tax on a single property purchase four different</t>
  </si>
  <si>
    <t>ways at once: a standard main-home purchase, an additional property (buy-to-let or second home,</t>
  </si>
  <si>
    <t>with the 5% surcharge), a non-UK-resident buy-to-let (the extra 2%), and first-time-buyer relief.</t>
  </si>
  <si>
    <t>It also shows what each surcharge adds over a plain purchase.</t>
  </si>
  <si>
    <t>How to use it:</t>
  </si>
  <si>
    <t>1. Go to the 'Your figures' tab.</t>
  </si>
  <si>
    <t>2. Edit the single blue cell: the purchase price.</t>
  </si>
  <si>
    <t>3. Every scenario and the surcharge costs update automatically.</t>
  </si>
  <si>
    <t>The 'Rates' tab holds the locked bands and surcharges and is the same source the website</t>
  </si>
  <si>
    <t>calculator uses. Read the 'Notes' tab for the assumptions and what this model does NOT cover.</t>
  </si>
  <si>
    <t>England and Northern Ireland only. Scotland (LBTT) and Wales (LTT) are separate taxes.</t>
  </si>
  <si>
    <t>Assumptions and limitations</t>
  </si>
  <si>
    <t>• Scope: residential Stamp Duty Land Tax in ENGLAND and NORTHERN IRELAND, at the rates in force</t>
  </si>
  <si>
    <t xml:space="preserve">  from 1 April 2025. Scotland charges Land and Buildings Transaction Tax (LBTT, with an 8% Additional</t>
  </si>
  <si>
    <t xml:space="preserve">  Dwelling Supplement) and Wales charges Land Transaction Tax (LTT) — different bands, not modelled here.</t>
  </si>
  <si>
    <t>• Standard bands are charged in slices: 0% to £125,000, 2% on £125,001–£250,000, 5% on</t>
  </si>
  <si>
    <t xml:space="preserve">  £250,001–£925,000, 10% on £925,001–£1,500,000 and 12% above £1,500,000. Each rate applies only to</t>
  </si>
  <si>
    <t xml:space="preserve">  the part of the price in its band.</t>
  </si>
  <si>
    <t>• Additional-dwelling surcharge: a flat 5% of the WHOLE price is added on top of standard rates for a</t>
  </si>
  <si>
    <t xml:space="preserve">  buy-to-let, a second home, or any purchase by a company (raised from 3% to 5% on 31 October 2024).</t>
  </si>
  <si>
    <t>• Non-resident surcharge: a further 2% of the whole price for a non-UK-resident purchaser. A non-resident</t>
  </si>
  <si>
    <t xml:space="preserve">  buying an additional property pays BOTH the 5% and the 2%.</t>
  </si>
  <si>
    <t>• First-time-buyer relief: 0% on the first £300,000 and 5% on £300,000–£500,000. It is withdrawn</t>
  </si>
  <si>
    <t xml:space="preserve">  completely once the price exceeds £500,000 (standard rates then apply), and it never applies to an</t>
  </si>
  <si>
    <t xml:space="preserve">  additional property.</t>
  </si>
  <si>
    <t>• NOT modelled: mixed-use property, deals of six or more dwellings (s.116(7) non-residential treatment),</t>
  </si>
  <si>
    <t xml:space="preserve">  uninhabitable property, linked transactions, leasehold premiums and net-present-value rent, and the</t>
  </si>
  <si>
    <t xml:space="preserve">  15% Schedule 4A rate for certain corporate purchases over £500,000. Multiple Dwellings Relief was</t>
  </si>
  <si>
    <t xml:space="preserve">  abolished for transactions on or after 1 June 2024 and is not available.</t>
  </si>
  <si>
    <t>• Figures are rounded to whole pounds and use current rates. This is general guidance, not advice for your</t>
  </si>
  <si>
    <t xml:space="preserve">  specific purchase. Speak to a property tax specialist before you exchange.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</si>
</sst>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£#,##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F172A"/>
    </font>
    <font>
      <b/>
      <color rgb="FF0F172A"/>
      <sz val="16"/>
    </font>
    <font>
      <b/>
      <color rgb="FF0F172A"/>
      <sz val="12"/>
    </font>
    <font>
      <b/>
      <color rgb="FF0F172A"/>
      <sz val="14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/>
    <xf numFmtId="9" fontId="0" fillId="0" borderId="0" xfId="0" applyNumberFormat="1"/>
    <xf numFmtId="164" fontId="0" fillId="3" borderId="0" xfId="0" applyNumberFormat="1" applyFill="1" applyProtection="1">
      <protection locked="0"/>
    </xf>
    <xf numFmtId="0" fontId="0" fillId="4" borderId="0" xfId="0" applyFill="1" applyAlignment="1">
      <alignment wrapText="1"/>
    </xf>
    <xf numFmtId="0" fontId="0" fillId="4" borderId="0" xfId="0" applyFill="1"/>
    <xf numFmtId="0" fontId="1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165" fontId="0" fillId="0" borderId="0" xfId="0" applyNumberFormat="1"/>
    <xf numFmtId="0" fontId="3" fillId="5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17"/>
  <sheetFormatPr defaultRowHeight="15" outlineLevelRow="0" outlineLevelCol="0" x14ac:dyDescent="55"/>
  <cols>
    <col min="1" max="1" width="50" style="1" customWidth="1"/>
    <col min="2" max="2" width="16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125000</v>
      </c>
    </row>
    <row r="3" spans="1:2" x14ac:dyDescent="0.25">
      <c r="A3" s="3" t="s">
        <v>2</v>
      </c>
      <c r="B3" s="4">
        <v>250000</v>
      </c>
    </row>
    <row r="4" spans="1:2" x14ac:dyDescent="0.25">
      <c r="A4" s="3" t="s">
        <v>3</v>
      </c>
      <c r="B4" s="4">
        <v>925000</v>
      </c>
    </row>
    <row r="5" spans="1:2" x14ac:dyDescent="0.25">
      <c r="A5" s="3" t="s">
        <v>4</v>
      </c>
      <c r="B5" s="4">
        <v>1500000</v>
      </c>
    </row>
    <row r="6" spans="1:2" x14ac:dyDescent="0.25">
      <c r="A6" s="3" t="s">
        <v>5</v>
      </c>
      <c r="B6" s="5">
        <v>0</v>
      </c>
    </row>
    <row r="7" spans="1:2" x14ac:dyDescent="0.25">
      <c r="A7" s="3" t="s">
        <v>6</v>
      </c>
      <c r="B7" s="5">
        <v>0.02</v>
      </c>
    </row>
    <row r="8" spans="1:2" x14ac:dyDescent="0.25">
      <c r="A8" s="3" t="s">
        <v>7</v>
      </c>
      <c r="B8" s="5">
        <v>0.05</v>
      </c>
    </row>
    <row r="9" spans="1:2" x14ac:dyDescent="0.25">
      <c r="A9" s="3" t="s">
        <v>8</v>
      </c>
      <c r="B9" s="5">
        <v>0.1</v>
      </c>
    </row>
    <row r="10" spans="1:2" x14ac:dyDescent="0.25">
      <c r="A10" s="3" t="s">
        <v>9</v>
      </c>
      <c r="B10" s="5">
        <v>0.12</v>
      </c>
    </row>
    <row r="11" spans="1:2" x14ac:dyDescent="0.25">
      <c r="A11" s="3" t="s">
        <v>10</v>
      </c>
      <c r="B11" s="4">
        <v>300000</v>
      </c>
    </row>
    <row r="12" spans="1:2" x14ac:dyDescent="0.25">
      <c r="A12" s="3" t="s">
        <v>11</v>
      </c>
      <c r="B12" s="4">
        <v>500000</v>
      </c>
    </row>
    <row r="13" spans="1:2" x14ac:dyDescent="0.25">
      <c r="A13" s="3" t="s">
        <v>12</v>
      </c>
      <c r="B13" s="5">
        <v>0</v>
      </c>
    </row>
    <row r="14" spans="1:2" x14ac:dyDescent="0.25">
      <c r="A14" s="3" t="s">
        <v>13</v>
      </c>
      <c r="B14" s="5">
        <v>0.05</v>
      </c>
    </row>
    <row r="15" spans="1:2" x14ac:dyDescent="0.25">
      <c r="A15" s="3" t="s">
        <v>14</v>
      </c>
      <c r="B15" s="4">
        <v>500000</v>
      </c>
    </row>
    <row r="16" spans="1:2" x14ac:dyDescent="0.25">
      <c r="A16" s="3" t="s">
        <v>15</v>
      </c>
      <c r="B16" s="5">
        <v>0.05</v>
      </c>
    </row>
    <row r="17" spans="1:2" x14ac:dyDescent="0.25">
      <c r="A17" s="3" t="s">
        <v>16</v>
      </c>
      <c r="B17" s="5">
        <v>0.02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18"/>
  <sheetFormatPr defaultRowHeight="15" outlineLevelRow="0" outlineLevelCol="0" x14ac:dyDescent="55"/>
  <cols>
    <col min="1" max="1" width="48" style="1" customWidth="1"/>
    <col min="2" max="2" width="18" customWidth="1"/>
  </cols>
  <sheetData>
    <row r="1" spans="1:2" x14ac:dyDescent="0.25">
      <c r="A1" s="2" t="s">
        <v>17</v>
      </c>
      <c r="B1" s="2"/>
    </row>
    <row r="3" spans="1:2" x14ac:dyDescent="0.25">
      <c r="A3" s="3" t="s">
        <v>18</v>
      </c>
      <c r="B3" s="6">
        <v>350000</v>
      </c>
    </row>
    <row r="5" spans="1:2" x14ac:dyDescent="0.25">
      <c r="A5" s="7" t="s">
        <v>19</v>
      </c>
      <c r="B5" s="4">
        <f>MAX(0,MIN(Price,Std_T1)-0)*Std_R1+MAX(0,MIN(Price,Std_T2)-Std_T1)*Std_R2+MAX(0,MIN(Price,Std_T3)-Std_T2)*Std_R3+MAX(0,MIN(Price,Std_T4)-Std_T3)*Std_R4+MAX(0,MIN(Price,Price)-Std_T4)*Std_R5</f>
      </c>
    </row>
    <row r="6" spans="1:2" x14ac:dyDescent="0.25">
      <c r="A6" s="7" t="s">
        <v>20</v>
      </c>
      <c r="B6" s="4">
        <f>Price*Surcharge_Add</f>
      </c>
    </row>
    <row r="7" spans="1:2" x14ac:dyDescent="0.25">
      <c r="A7" s="7" t="s">
        <v>21</v>
      </c>
      <c r="B7" s="4">
        <f>Price*Surcharge_NonRes</f>
      </c>
    </row>
    <row r="8" spans="1:1" x14ac:dyDescent="0.25">
      <c r="A8" s="8"/>
    </row>
    <row r="9" spans="1:2" x14ac:dyDescent="0.25">
      <c r="A9" s="9" t="s">
        <v>22</v>
      </c>
      <c r="B9" s="9"/>
    </row>
    <row r="10" spans="1:2" x14ac:dyDescent="0.25">
      <c r="A10" s="7" t="s">
        <v>23</v>
      </c>
      <c r="B10" s="4">
        <f>StdBase</f>
      </c>
    </row>
    <row r="11" spans="1:2" x14ac:dyDescent="0.25">
      <c r="A11" s="10" t="s">
        <v>24</v>
      </c>
      <c r="B11" s="4">
        <f>StdBase+AddSurcharge</f>
      </c>
    </row>
    <row r="12" spans="1:2" x14ac:dyDescent="0.25">
      <c r="A12" s="7" t="s">
        <v>25</v>
      </c>
      <c r="B12" s="4">
        <f>StdBase+AddSurcharge+NonResSurcharge</f>
      </c>
    </row>
    <row r="13" spans="1:2" x14ac:dyDescent="0.25">
      <c r="A13" s="7" t="s">
        <v>26</v>
      </c>
      <c r="B13" s="4">
        <f>IF(Price&gt;Ftb_Cap,StdBase,MAX(0,MIN(Price,Ftb_T1)-0)*Ftb_R1+MAX(0,MIN(Price,Ftb_T2)-Ftb_T1)*Ftb_R2)</f>
      </c>
    </row>
    <row r="14" spans="1:1" x14ac:dyDescent="0.25">
      <c r="A14" s="8"/>
    </row>
    <row r="15" spans="1:2" x14ac:dyDescent="0.25">
      <c r="A15" s="9" t="s">
        <v>27</v>
      </c>
      <c r="B15" s="9"/>
    </row>
    <row r="16" spans="1:2" x14ac:dyDescent="0.25">
      <c r="A16" s="10" t="s">
        <v>28</v>
      </c>
      <c r="B16" s="4">
        <f>AdditionalTotal-StdBase</f>
      </c>
    </row>
    <row r="17" spans="1:2" x14ac:dyDescent="0.25">
      <c r="A17" s="7" t="s">
        <v>29</v>
      </c>
      <c r="B17" s="4">
        <f>NonResSurcharge</f>
      </c>
    </row>
    <row r="18" spans="1:2" x14ac:dyDescent="0.25">
      <c r="A18" s="7" t="s">
        <v>30</v>
      </c>
      <c r="B18" s="11">
        <f>IF(Price&gt;0,AdditionalTotal/Price,0)</f>
      </c>
    </row>
  </sheetData>
  <mergeCells count="3">
    <mergeCell ref="A1:B1"/>
    <mergeCell ref="A9:B9"/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6"/>
  <sheetFormatPr defaultRowHeight="15" outlineLevelRow="0" outlineLevelCol="0" x14ac:dyDescent="55"/>
  <cols>
    <col min="1" max="1" width="90" customWidth="1"/>
  </cols>
  <sheetData>
    <row r="1" spans="1:1" x14ac:dyDescent="0.25">
      <c r="A1" s="12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32</v>
      </c>
    </row>
    <row r="8" spans="1:1" x14ac:dyDescent="0.25">
      <c r="A8" s="13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40</v>
      </c>
    </row>
    <row r="12" spans="1:1" x14ac:dyDescent="0.25">
      <c r="A12" t="s">
        <v>32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32</v>
      </c>
    </row>
    <row r="16" spans="1:1" x14ac:dyDescent="0.25">
      <c r="A16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00" customWidth="1"/>
  </cols>
  <sheetData>
    <row r="1" spans="1:1" x14ac:dyDescent="0.25">
      <c r="A1" s="14" t="s">
        <v>44</v>
      </c>
    </row>
    <row r="2" spans="1:1" x14ac:dyDescent="0.25">
      <c r="A2" t="s">
        <v>32</v>
      </c>
    </row>
    <row r="3" spans="1:1" x14ac:dyDescent="0.25">
      <c r="A3" t="s">
        <v>45</v>
      </c>
    </row>
    <row r="4" spans="1:1" x14ac:dyDescent="0.25">
      <c r="A4" t="s">
        <v>46</v>
      </c>
    </row>
    <row r="5" spans="1:1" x14ac:dyDescent="0.25">
      <c r="A5" t="s">
        <v>47</v>
      </c>
    </row>
    <row r="6" spans="1:1" x14ac:dyDescent="0.25">
      <c r="A6" t="s">
        <v>32</v>
      </c>
    </row>
    <row r="7" spans="1:1" x14ac:dyDescent="0.25">
      <c r="A7" t="s">
        <v>48</v>
      </c>
    </row>
    <row r="8" spans="1:1" x14ac:dyDescent="0.25">
      <c r="A8" t="s">
        <v>49</v>
      </c>
    </row>
    <row r="9" spans="1:1" x14ac:dyDescent="0.25">
      <c r="A9" t="s">
        <v>50</v>
      </c>
    </row>
    <row r="10" spans="1:1" x14ac:dyDescent="0.25">
      <c r="A10" t="s">
        <v>32</v>
      </c>
    </row>
    <row r="11" spans="1:1" x14ac:dyDescent="0.25">
      <c r="A11" t="s">
        <v>51</v>
      </c>
    </row>
    <row r="12" spans="1:1" x14ac:dyDescent="0.25">
      <c r="A12" t="s">
        <v>52</v>
      </c>
    </row>
    <row r="13" spans="1:1" x14ac:dyDescent="0.25">
      <c r="A13" t="s">
        <v>32</v>
      </c>
    </row>
    <row r="14" spans="1:1" x14ac:dyDescent="0.25">
      <c r="A14" t="s">
        <v>53</v>
      </c>
    </row>
    <row r="15" spans="1:1" x14ac:dyDescent="0.25">
      <c r="A15" t="s">
        <v>54</v>
      </c>
    </row>
    <row r="16" spans="1:1" x14ac:dyDescent="0.25">
      <c r="A16" t="s">
        <v>32</v>
      </c>
    </row>
    <row r="17" spans="1:1" x14ac:dyDescent="0.25">
      <c r="A17" t="s">
        <v>55</v>
      </c>
    </row>
    <row r="18" spans="1:1" x14ac:dyDescent="0.25">
      <c r="A18" t="s">
        <v>56</v>
      </c>
    </row>
    <row r="19" spans="1:1" x14ac:dyDescent="0.25">
      <c r="A19" t="s">
        <v>57</v>
      </c>
    </row>
    <row r="20" spans="1:1" x14ac:dyDescent="0.25">
      <c r="A20" t="s">
        <v>32</v>
      </c>
    </row>
    <row r="21" spans="1:1" x14ac:dyDescent="0.25">
      <c r="A21" t="s">
        <v>58</v>
      </c>
    </row>
    <row r="22" spans="1:1" x14ac:dyDescent="0.25">
      <c r="A22" t="s">
        <v>59</v>
      </c>
    </row>
    <row r="23" spans="1:1" x14ac:dyDescent="0.25">
      <c r="A23" t="s">
        <v>60</v>
      </c>
    </row>
    <row r="24" spans="1:1" x14ac:dyDescent="0.25">
      <c r="A24" t="s">
        <v>61</v>
      </c>
    </row>
    <row r="25" spans="1:1" x14ac:dyDescent="0.25">
      <c r="A25" t="s">
        <v>32</v>
      </c>
    </row>
    <row r="26" spans="1:1" x14ac:dyDescent="0.25">
      <c r="A26" t="s">
        <v>62</v>
      </c>
    </row>
    <row r="27" spans="1:1" x14ac:dyDescent="0.25">
      <c r="A27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Rates</vt:lpstr>
      <vt:lpstr>Your figures</vt:lpstr>
      <vt:lpstr>Start here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Tax Partners</dc:creator>
  <dc:title/>
  <dc:subject/>
  <dc:description/>
  <cp:keywords/>
  <cp:category/>
  <cp:lastModifiedBy>Property Tax Partners</cp:lastModifiedBy>
  <dcterms:created xsi:type="dcterms:W3CDTF">2024-01-01T00:00:00Z</dcterms:created>
  <dcterms:modified xsi:type="dcterms:W3CDTF">2024-01-01T00:00:00Z</dcterms:modified>
</cp:coreProperties>
</file>