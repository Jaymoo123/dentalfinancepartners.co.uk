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Am I in" state="visible" r:id="rId5"/>
    <sheet sheetId="3" name="Quarter tracker" state="visible" r:id="rId6"/>
    <sheet sheetId="4" name="Records" state="visible" r:id="rId7"/>
    <sheet sheetId="5" name="Start here" state="visible" r:id="rId8"/>
    <sheet sheetId="6" name="Notes" state="visible" r:id="rId9"/>
  </sheets>
  <definedNames>
    <definedName name="Thr_1">Rates!$B$2</definedName>
    <definedName name="Year_1">Rates!$B$3</definedName>
    <definedName name="Thr_2">Rates!$B$4</definedName>
    <definedName name="Year_2">Rates!$B$5</definedName>
    <definedName name="Thr_3">Rates!$B$6</definedName>
    <definedName name="Year_3">Rates!$B$7</definedName>
    <definedName name="Quarters">Rates!$B$8</definedName>
    <definedName name="In_Rent">'Am I in'!$B$3</definedName>
    <definedName name="In_Trade">'Am I in'!$B$4</definedName>
    <definedName name="In_Individual">'Am I in'!$B$5</definedName>
    <definedName name="Qualifying">'Am I in'!$B$7</definedName>
    <definedName name="FromYear">'Am I in'!$B$10</definedName>
  </definedNames>
  <calcPr calcId="171027"/>
</workbook>
</file>

<file path=xl/sharedStrings.xml><?xml version="1.0" encoding="utf-8"?>
<sst xmlns="http://schemas.openxmlformats.org/spreadsheetml/2006/main" count="107" uniqueCount="93">
  <si>
    <t>Locked MTD thresholds — do not edit</t>
  </si>
  <si>
    <t>Threshold 1 — mandated from 6 April 2026 when income is over</t>
  </si>
  <si>
    <t>Start year 1 (6 April)</t>
  </si>
  <si>
    <t>Threshold 2 — mandated from 6 April 2027 when income is over</t>
  </si>
  <si>
    <t>Start year 2 (6 April)</t>
  </si>
  <si>
    <t>Threshold 3 — mandated from 6 April 2028 when income is over</t>
  </si>
  <si>
    <t>Start year 3 (6 April)</t>
  </si>
  <si>
    <t>Quarterly updates required per year</t>
  </si>
  <si>
    <t>Am I in MTD? — edit the blue cells</t>
  </si>
  <si>
    <t>Annual rental income (gross, before expenses)</t>
  </si>
  <si>
    <t>Sole-trade / self-employment turnover (gross)</t>
  </si>
  <si>
    <t>Are you an individual / sole trader? (Yes / No)</t>
  </si>
  <si>
    <t>Yes</t>
  </si>
  <si>
    <t>Qualifying income (gross rent + gross trade)</t>
  </si>
  <si>
    <t>Does MTD for Income Tax apply to you?</t>
  </si>
  <si>
    <t>Mandatory from (April)</t>
  </si>
  <si>
    <t>Verdict</t>
  </si>
  <si>
    <t>Quarterly updates you will owe each year</t>
  </si>
  <si>
    <t>Quarterly update tracker (standard UK-tax-year quarters)</t>
  </si>
  <si>
    <t>Quarter</t>
  </si>
  <si>
    <t>Period covers</t>
  </si>
  <si>
    <t>Period ends</t>
  </si>
  <si>
    <t>Update due</t>
  </si>
  <si>
    <t>Submitted?</t>
  </si>
  <si>
    <t>Status</t>
  </si>
  <si>
    <t>Quarter 1</t>
  </si>
  <si>
    <t>6 Apr – 5 Jul</t>
  </si>
  <si>
    <t>5 July</t>
  </si>
  <si>
    <t>7 August</t>
  </si>
  <si>
    <t>No</t>
  </si>
  <si>
    <t>Quarter 2</t>
  </si>
  <si>
    <t>6 Jul – 5 Oct</t>
  </si>
  <si>
    <t>5 October</t>
  </si>
  <si>
    <t>7 November</t>
  </si>
  <si>
    <t>Quarter 3</t>
  </si>
  <si>
    <t>6 Oct – 5 Jan</t>
  </si>
  <si>
    <t>5 January</t>
  </si>
  <si>
    <t>7 February</t>
  </si>
  <si>
    <t>Quarter 4</t>
  </si>
  <si>
    <t>6 Jan – 5 Apr</t>
  </si>
  <si>
    <t>5 April</t>
  </si>
  <si>
    <t>7 May</t>
  </si>
  <si>
    <t>Final declaration</t>
  </si>
  <si>
    <t>Whole tax year wrap-up</t>
  </si>
  <si>
    <t>5 April (year end)</t>
  </si>
  <si>
    <t>31 January following</t>
  </si>
  <si>
    <t>Outstanding obligations</t>
  </si>
  <si>
    <t>(quarterly updates + final declaration still to file)</t>
  </si>
  <si>
    <t>Digital records log (categorise every transaction)</t>
  </si>
  <si>
    <t>Date</t>
  </si>
  <si>
    <t>Description</t>
  </si>
  <si>
    <t>Category</t>
  </si>
  <si>
    <t>Amount (£)</t>
  </si>
  <si>
    <t>Totals by category</t>
  </si>
  <si>
    <t>Gross rental income</t>
  </si>
  <si>
    <t>Repairs &amp; maintenance</t>
  </si>
  <si>
    <t>Letting agent fees</t>
  </si>
  <si>
    <t>Insurance</t>
  </si>
  <si>
    <t>Finance costs (interest)</t>
  </si>
  <si>
    <t>Council tax / utilities</t>
  </si>
  <si>
    <t>Other allowable cost</t>
  </si>
  <si>
    <t>Making Tax Digital for Income Tax — checker + deadline tracker</t>
  </si>
  <si>
    <t/>
  </si>
  <si>
    <t>This workbook tells you whether MTD for Income Tax applies to you and from which April, then</t>
  </si>
  <si>
    <t>gives you a quarterly-deadline tracker and a digital-records log to help you get ready.</t>
  </si>
  <si>
    <t>How to use it:</t>
  </si>
  <si>
    <t>1. 'Am I in' tab: edit only the blue cells (gross rent, gross trade, individual yes/no). The</t>
  </si>
  <si>
    <t xml:space="preserve">   verdict and your start year update automatically from the locked thresholds.</t>
  </si>
  <si>
    <t>2. 'Quarter tracker' tab: mark each quarterly update + the final declaration 'Yes' once filed;</t>
  </si>
  <si>
    <t xml:space="preserve">   the status column flags what is still outstanding.</t>
  </si>
  <si>
    <t>3. 'Records' tab: log every transaction against an SA105 category; totals update per category.</t>
  </si>
  <si>
    <t>The 'Rates' tab holds the locked MTD thresholds and is the same source the website checker uses.</t>
  </si>
  <si>
    <t>Read the 'Notes' tab for the assumptions and what this model does NOT cover.</t>
  </si>
  <si>
    <t>Assumptions and limitations</t>
  </si>
  <si>
    <t>• MTD for Income Tax (MTD ITSA) is phased by qualifying income: mandatory for individuals from</t>
  </si>
  <si>
    <t xml:space="preserve">  6 April 2026 when qualifying income is OVER £50,000, from 6 April 2027 when OVER £30,000, and</t>
  </si>
  <si>
    <t xml:space="preserve">  from 6 April 2028 when OVER £20,000. The thresholds are 'over', so income exactly equal to a</t>
  </si>
  <si>
    <t xml:space="preserve">  threshold is in the NEXT cohort, not the current one.</t>
  </si>
  <si>
    <t>• Qualifying income = GROSS property rental income + GROSS sole-trade / self-employment turnover,</t>
  </si>
  <si>
    <t xml:space="preserve">  before any expenses. The two streams are aggregated. Employment (PAYE), pensions, dividends and</t>
  </si>
  <si>
    <t xml:space="preserve">  savings interest do NOT count towards it. A high-rent / low-profit landlord can still be in scope.</t>
  </si>
  <si>
    <t>• Joint-property owners test the threshold against their SHARE of the gross rent (default 50/50</t>
  </si>
  <si>
    <t xml:space="preserve">  absent a Form 17 election), not the property's total. Enter only your share here.</t>
  </si>
  <si>
    <t>• Limited companies are OUTSIDE MTD ITSA entirely (they file a Company Tax return). Partnerships and</t>
  </si>
  <si>
    <t xml:space="preserve">  LLPs are deferred with no confirmed start date. Trustees are outside MTD ITSA. Answer 'No' to the</t>
  </si>
  <si>
    <t xml:space="preserve">  individual question for any of these and the verdict shows 'out of scope'.</t>
  </si>
  <si>
    <t>• Once in, you must keep digital records, file four quarterly updates (roughly one month after each</t>
  </si>
  <si>
    <t xml:space="preserve">  quarter end) and a final declaration by 31 January after the tax year, using HMRC-recognised</t>
  </si>
  <si>
    <t xml:space="preserve">  software (spreadsheet + recognised bridging software is allowed; copy-paste is not a digital link).</t>
  </si>
  <si>
    <t>• A calendar-quarter election (31 Mar / 30 Jun / 30 Sep / 31 Dec) is available from 6 April 2026;</t>
  </si>
  <si>
    <t xml:space="preserve">  this tracker uses the default UK-tax-year quarters.</t>
  </si>
  <si>
    <t>• This is general guidance based on the published schedule, not advice for your specific situation.</t>
  </si>
  <si>
    <t xml:space="preserve">  Speak to a property tax specialist before relying on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</si>
</sst>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£#,##0"/>
    <numFmt numFmtId="165" formatCode="£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F172A"/>
    </font>
    <font>
      <b/>
      <color rgb="FFFFFFFF"/>
    </font>
    <font>
      <i/>
      <color rgb="FF64748B"/>
      <sz val="10"/>
    </font>
    <font>
      <b/>
      <color rgb="FF0F172A"/>
      <sz val="16"/>
    </font>
    <font>
      <b/>
      <color rgb="FF0F172A"/>
      <sz val="12"/>
    </font>
    <font>
      <b/>
      <color rgb="FF0F172A"/>
      <sz val="14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1" fontId="0" fillId="0" borderId="0" xfId="0" applyNumberFormat="1"/>
    <xf numFmtId="164" fontId="0" fillId="3" borderId="0" xfId="0" applyNumberFormat="1" applyFill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2" fillId="4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0" fillId="4" borderId="0" xfId="0" applyFill="1"/>
    <xf numFmtId="0" fontId="1" fillId="4" borderId="0" xfId="0" applyFont="1" applyFill="1" applyAlignment="1">
      <alignment wrapText="1"/>
    </xf>
    <xf numFmtId="1" fontId="0" fillId="0" borderId="0" xfId="0" applyNumberFormat="1" applyAlignment="1">
      <alignment wrapText="1"/>
    </xf>
    <xf numFmtId="0" fontId="2" fillId="5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0" fillId="3" borderId="0" xfId="0" applyFill="1" applyProtection="1">
      <protection locked="0"/>
    </xf>
    <xf numFmtId="0" fontId="2" fillId="0" borderId="0" xfId="0" applyFont="1"/>
    <xf numFmtId="0" fontId="4" fillId="0" borderId="0" xfId="0" applyFont="1"/>
    <xf numFmtId="0" fontId="0" fillId="4" borderId="0" xfId="0" applyFill="1" applyProtection="1">
      <protection locked="0"/>
    </xf>
    <xf numFmtId="165" fontId="0" fillId="4" borderId="0" xfId="0" applyNumberFormat="1" applyFill="1" applyProtection="1">
      <protection locked="0"/>
    </xf>
    <xf numFmtId="0" fontId="0" fillId="6" borderId="0" xfId="0" applyFill="1" applyProtection="1">
      <protection locked="0"/>
    </xf>
    <xf numFmtId="165" fontId="0" fillId="6" borderId="0" xfId="0" applyNumberFormat="1" applyFill="1" applyProtection="1">
      <protection locked="0"/>
    </xf>
    <xf numFmtId="165" fontId="0" fillId="0" borderId="0" xfId="0" applyNumberFormat="1"/>
    <xf numFmtId="0" fontId="5" fillId="7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8"/>
  <sheetFormatPr defaultRowHeight="15" outlineLevelRow="0" outlineLevelCol="0" x14ac:dyDescent="55"/>
  <cols>
    <col min="1" max="1" width="50" style="1" customWidth="1"/>
    <col min="2" max="2" width="18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50000</v>
      </c>
    </row>
    <row r="3" spans="1:2" x14ac:dyDescent="0.25">
      <c r="A3" s="3" t="s">
        <v>2</v>
      </c>
      <c r="B3" s="5">
        <v>2026</v>
      </c>
    </row>
    <row r="4" spans="1:2" x14ac:dyDescent="0.25">
      <c r="A4" s="3" t="s">
        <v>3</v>
      </c>
      <c r="B4" s="4">
        <v>30000</v>
      </c>
    </row>
    <row r="5" spans="1:2" x14ac:dyDescent="0.25">
      <c r="A5" s="3" t="s">
        <v>4</v>
      </c>
      <c r="B5" s="5">
        <v>2027</v>
      </c>
    </row>
    <row r="6" spans="1:2" x14ac:dyDescent="0.25">
      <c r="A6" s="3" t="s">
        <v>5</v>
      </c>
      <c r="B6" s="4">
        <v>20000</v>
      </c>
    </row>
    <row r="7" spans="1:2" x14ac:dyDescent="0.25">
      <c r="A7" s="3" t="s">
        <v>6</v>
      </c>
      <c r="B7" s="5">
        <v>2028</v>
      </c>
    </row>
    <row r="8" spans="1:2" x14ac:dyDescent="0.25">
      <c r="A8" s="3" t="s">
        <v>7</v>
      </c>
      <c r="B8" s="5">
        <v>4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12"/>
  <sheetFormatPr defaultRowHeight="15" outlineLevelRow="0" outlineLevelCol="0" x14ac:dyDescent="55"/>
  <cols>
    <col min="1" max="1" width="50" style="1" customWidth="1"/>
    <col min="2" max="2" width="26" style="1" customWidth="1"/>
  </cols>
  <sheetData>
    <row r="1" spans="1:2" x14ac:dyDescent="0.25">
      <c r="A1" s="2" t="s">
        <v>8</v>
      </c>
      <c r="B1" s="2"/>
    </row>
    <row r="3" spans="1:2" x14ac:dyDescent="0.25">
      <c r="A3" s="3" t="s">
        <v>9</v>
      </c>
      <c r="B3" s="6">
        <v>35000</v>
      </c>
    </row>
    <row r="4" spans="1:2" x14ac:dyDescent="0.25">
      <c r="A4" s="3" t="s">
        <v>10</v>
      </c>
      <c r="B4" s="6">
        <v>20000</v>
      </c>
    </row>
    <row r="5" spans="1:2" x14ac:dyDescent="0.25">
      <c r="A5" s="3" t="s">
        <v>11</v>
      </c>
      <c r="B5" s="7" t="s">
        <v>12</v>
      </c>
    </row>
    <row r="7" spans="1:2" x14ac:dyDescent="0.25">
      <c r="A7" s="8" t="s">
        <v>13</v>
      </c>
      <c r="B7" s="9">
        <f>MAX(0,In_Rent)+MAX(0,In_Trade)</f>
      </c>
    </row>
    <row r="8" spans="1:1" x14ac:dyDescent="0.25">
      <c r="A8" s="10"/>
    </row>
    <row r="9" spans="1:2" x14ac:dyDescent="0.25">
      <c r="A9" s="11" t="s">
        <v>14</v>
      </c>
      <c r="B9" s="11"/>
    </row>
    <row r="10" spans="1:2" x14ac:dyDescent="0.25">
      <c r="A10" s="8" t="s">
        <v>15</v>
      </c>
      <c r="B10" s="12">
        <f>IF(In_Individual&lt;&gt;"Yes",0,IF(Qualifying&gt;Thr_1,Year_1,IF(Qualifying&gt;Thr_2,Year_2,IF(Qualifying&gt;Thr_3,Year_3,0))))</f>
      </c>
    </row>
    <row r="11" spans="1:2" x14ac:dyDescent="0.25">
      <c r="A11" s="8" t="s">
        <v>16</v>
      </c>
      <c r="B11" s="13">
        <f>IF(In_Individual&lt;&gt;"Yes","Out of scope — companies/partnerships/trusts are not in MTD ITSA",IF(FromYear=0,"Not yet mandated — below £"&amp;TEXT(Thr_3,"#,##0")&amp;" (voluntary opt-in available)","YES — mandatory from 6 April "&amp;FromYear))</f>
      </c>
    </row>
    <row r="12" spans="1:2" x14ac:dyDescent="0.25">
      <c r="A12" s="8" t="s">
        <v>17</v>
      </c>
      <c r="B12" s="12">
        <f>IF(AND(In_Individual="Yes",FromYear&gt;0),Quarters,0)</f>
      </c>
    </row>
  </sheetData>
  <mergeCells count="2">
    <mergeCell ref="A1:B1"/>
    <mergeCell ref="A9:B9"/>
  </mergeCells>
  <dataValidations count="1">
    <dataValidation type="list" sqref="B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F11"/>
  <sheetFormatPr defaultRowHeight="15" outlineLevelRow="0" outlineLevelCol="0" x14ac:dyDescent="55"/>
  <cols>
    <col min="1" max="1" width="14" customWidth="1"/>
    <col min="2" max="2" width="20" customWidth="1"/>
    <col min="3" max="4" width="18" customWidth="1"/>
    <col min="5" max="5" width="16" customWidth="1"/>
    <col min="6" max="6" width="22" customWidth="1"/>
  </cols>
  <sheetData>
    <row r="1" spans="1:6" x14ac:dyDescent="0.25">
      <c r="A1" s="14" t="s">
        <v>18</v>
      </c>
      <c r="B1" s="14"/>
      <c r="C1" s="14"/>
      <c r="D1" s="14"/>
      <c r="E1" s="14"/>
      <c r="F1" s="14"/>
    </row>
    <row r="3" spans="1:6" x14ac:dyDescent="0.25">
      <c r="A3" s="15" t="s">
        <v>19</v>
      </c>
      <c r="B3" s="15" t="s">
        <v>20</v>
      </c>
      <c r="C3" s="15" t="s">
        <v>21</v>
      </c>
      <c r="D3" s="15" t="s">
        <v>22</v>
      </c>
      <c r="E3" s="15" t="s">
        <v>23</v>
      </c>
      <c r="F3" s="15" t="s">
        <v>24</v>
      </c>
    </row>
    <row r="4" spans="1:6" x14ac:dyDescent="0.25">
      <c r="A4" t="s">
        <v>25</v>
      </c>
      <c r="B4" t="s">
        <v>26</v>
      </c>
      <c r="C4" t="s">
        <v>27</v>
      </c>
      <c r="D4" t="s">
        <v>28</v>
      </c>
      <c r="E4" s="16" t="s">
        <v>29</v>
      </c>
      <c r="F4">
        <f>IF(E4="Yes","Done","Outstanding — due "&amp;D4)</f>
      </c>
    </row>
    <row r="5" spans="1:6" x14ac:dyDescent="0.25">
      <c r="A5" t="s">
        <v>30</v>
      </c>
      <c r="B5" t="s">
        <v>31</v>
      </c>
      <c r="C5" t="s">
        <v>32</v>
      </c>
      <c r="D5" t="s">
        <v>33</v>
      </c>
      <c r="E5" s="16" t="s">
        <v>29</v>
      </c>
      <c r="F5">
        <f>IF(E5="Yes","Done","Outstanding — due "&amp;D5)</f>
      </c>
    </row>
    <row r="6" spans="1:6" x14ac:dyDescent="0.25">
      <c r="A6" t="s">
        <v>34</v>
      </c>
      <c r="B6" t="s">
        <v>35</v>
      </c>
      <c r="C6" t="s">
        <v>36</v>
      </c>
      <c r="D6" t="s">
        <v>37</v>
      </c>
      <c r="E6" s="16" t="s">
        <v>29</v>
      </c>
      <c r="F6">
        <f>IF(E6="Yes","Done","Outstanding — due "&amp;D6)</f>
      </c>
    </row>
    <row r="7" spans="1:6" x14ac:dyDescent="0.25">
      <c r="A7" t="s">
        <v>38</v>
      </c>
      <c r="B7" t="s">
        <v>39</v>
      </c>
      <c r="C7" t="s">
        <v>40</v>
      </c>
      <c r="D7" t="s">
        <v>41</v>
      </c>
      <c r="E7" s="16" t="s">
        <v>29</v>
      </c>
      <c r="F7">
        <f>IF(E7="Yes","Done","Outstanding — due "&amp;D7)</f>
      </c>
    </row>
    <row r="9" spans="1:6" x14ac:dyDescent="0.25">
      <c r="A9" s="17" t="s">
        <v>42</v>
      </c>
      <c r="B9" t="s">
        <v>43</v>
      </c>
      <c r="C9" t="s">
        <v>44</v>
      </c>
      <c r="D9" t="s">
        <v>45</v>
      </c>
      <c r="E9" s="16" t="s">
        <v>29</v>
      </c>
      <c r="F9">
        <f>IF(E9="Yes","Done","Outstanding — due "&amp;D9)</f>
      </c>
    </row>
    <row r="11" spans="1:4" x14ac:dyDescent="0.25">
      <c r="A11" s="17" t="s">
        <v>46</v>
      </c>
      <c r="C11" s="17">
        <f>COUNTIF(E4:E9,"No")</f>
      </c>
      <c r="D11" s="18" t="s">
        <v>47</v>
      </c>
    </row>
  </sheetData>
  <mergeCells count="1">
    <mergeCell ref="A1:F1"/>
  </mergeCells>
  <dataValidations count="2">
    <dataValidation type="list" sqref="E4:E7">
      <formula1>"Yes,No"</formula1>
    </dataValidation>
    <dataValidation type="list" sqref="E9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E32"/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16" customWidth="1"/>
    <col min="5" max="5" width="14" customWidth="1"/>
  </cols>
  <sheetData>
    <row r="1" spans="1:5" x14ac:dyDescent="0.25">
      <c r="A1" s="14" t="s">
        <v>48</v>
      </c>
      <c r="B1" s="14"/>
      <c r="C1" s="14"/>
      <c r="D1" s="14"/>
      <c r="E1" s="14"/>
    </row>
    <row r="3" spans="1:5" x14ac:dyDescent="0.25">
      <c r="A3" s="15" t="s">
        <v>49</v>
      </c>
      <c r="B3" s="15" t="s">
        <v>50</v>
      </c>
      <c r="C3" s="15" t="s">
        <v>51</v>
      </c>
      <c r="D3" s="15" t="s">
        <v>52</v>
      </c>
      <c r="E3" s="15" t="s">
        <v>19</v>
      </c>
    </row>
    <row r="4" spans="1:5" x14ac:dyDescent="0.25">
      <c r="A4" s="19"/>
      <c r="B4" s="19"/>
      <c r="C4" s="19"/>
      <c r="D4" s="20"/>
      <c r="E4" s="19"/>
    </row>
    <row r="5" spans="1:5" x14ac:dyDescent="0.25">
      <c r="A5" s="21"/>
      <c r="B5" s="21"/>
      <c r="C5" s="21"/>
      <c r="D5" s="22"/>
      <c r="E5" s="21"/>
    </row>
    <row r="6" spans="1:5" x14ac:dyDescent="0.25">
      <c r="A6" s="19"/>
      <c r="B6" s="19"/>
      <c r="C6" s="19"/>
      <c r="D6" s="20"/>
      <c r="E6" s="19"/>
    </row>
    <row r="7" spans="1:5" x14ac:dyDescent="0.25">
      <c r="A7" s="21"/>
      <c r="B7" s="21"/>
      <c r="C7" s="21"/>
      <c r="D7" s="22"/>
      <c r="E7" s="21"/>
    </row>
    <row r="8" spans="1:5" x14ac:dyDescent="0.25">
      <c r="A8" s="19"/>
      <c r="B8" s="19"/>
      <c r="C8" s="19"/>
      <c r="D8" s="20"/>
      <c r="E8" s="19"/>
    </row>
    <row r="9" spans="1:5" x14ac:dyDescent="0.25">
      <c r="A9" s="21"/>
      <c r="B9" s="21"/>
      <c r="C9" s="21"/>
      <c r="D9" s="22"/>
      <c r="E9" s="21"/>
    </row>
    <row r="10" spans="1:5" x14ac:dyDescent="0.25">
      <c r="A10" s="19"/>
      <c r="B10" s="19"/>
      <c r="C10" s="19"/>
      <c r="D10" s="20"/>
      <c r="E10" s="19"/>
    </row>
    <row r="11" spans="1:5" x14ac:dyDescent="0.25">
      <c r="A11" s="21"/>
      <c r="B11" s="21"/>
      <c r="C11" s="21"/>
      <c r="D11" s="22"/>
      <c r="E11" s="21"/>
    </row>
    <row r="12" spans="1:5" x14ac:dyDescent="0.25">
      <c r="A12" s="19"/>
      <c r="B12" s="19"/>
      <c r="C12" s="19"/>
      <c r="D12" s="20"/>
      <c r="E12" s="19"/>
    </row>
    <row r="13" spans="1:5" x14ac:dyDescent="0.25">
      <c r="A13" s="21"/>
      <c r="B13" s="21"/>
      <c r="C13" s="21"/>
      <c r="D13" s="22"/>
      <c r="E13" s="21"/>
    </row>
    <row r="14" spans="1:5" x14ac:dyDescent="0.25">
      <c r="A14" s="19"/>
      <c r="B14" s="19"/>
      <c r="C14" s="19"/>
      <c r="D14" s="20"/>
      <c r="E14" s="19"/>
    </row>
    <row r="15" spans="1:5" x14ac:dyDescent="0.25">
      <c r="A15" s="21"/>
      <c r="B15" s="21"/>
      <c r="C15" s="21"/>
      <c r="D15" s="22"/>
      <c r="E15" s="21"/>
    </row>
    <row r="16" spans="1:5" x14ac:dyDescent="0.25">
      <c r="A16" s="19"/>
      <c r="B16" s="19"/>
      <c r="C16" s="19"/>
      <c r="D16" s="20"/>
      <c r="E16" s="19"/>
    </row>
    <row r="17" spans="1:5" x14ac:dyDescent="0.25">
      <c r="A17" s="21"/>
      <c r="B17" s="21"/>
      <c r="C17" s="21"/>
      <c r="D17" s="22"/>
      <c r="E17" s="21"/>
    </row>
    <row r="18" spans="1:5" x14ac:dyDescent="0.25">
      <c r="A18" s="19"/>
      <c r="B18" s="19"/>
      <c r="C18" s="19"/>
      <c r="D18" s="20"/>
      <c r="E18" s="19"/>
    </row>
    <row r="19" spans="1:5" x14ac:dyDescent="0.25">
      <c r="A19" s="21"/>
      <c r="B19" s="21"/>
      <c r="C19" s="21"/>
      <c r="D19" s="22"/>
      <c r="E19" s="21"/>
    </row>
    <row r="20" spans="1:5" x14ac:dyDescent="0.25">
      <c r="A20" s="19"/>
      <c r="B20" s="19"/>
      <c r="C20" s="19"/>
      <c r="D20" s="20"/>
      <c r="E20" s="19"/>
    </row>
    <row r="21" spans="1:5" x14ac:dyDescent="0.25">
      <c r="A21" s="21"/>
      <c r="B21" s="21"/>
      <c r="C21" s="21"/>
      <c r="D21" s="22"/>
      <c r="E21" s="21"/>
    </row>
    <row r="22" spans="1:5" x14ac:dyDescent="0.25">
      <c r="A22" s="19"/>
      <c r="B22" s="19"/>
      <c r="C22" s="19"/>
      <c r="D22" s="20"/>
      <c r="E22" s="19"/>
    </row>
    <row r="23" spans="1:5" x14ac:dyDescent="0.25">
      <c r="A23" s="21"/>
      <c r="B23" s="21"/>
      <c r="C23" s="21"/>
      <c r="D23" s="22"/>
      <c r="E23" s="21"/>
    </row>
    <row r="25" spans="1:1" x14ac:dyDescent="0.25">
      <c r="A25" s="17" t="s">
        <v>53</v>
      </c>
    </row>
    <row r="26" spans="2:4" x14ac:dyDescent="0.25">
      <c r="B26" t="s">
        <v>54</v>
      </c>
      <c r="D26" s="23">
        <f>SUMIF($C$4:$C$23,B26,$D$4:$D$23)</f>
      </c>
    </row>
    <row r="27" spans="2:4" x14ac:dyDescent="0.25">
      <c r="B27" t="s">
        <v>55</v>
      </c>
      <c r="D27" s="23">
        <f>SUMIF($C$4:$C$23,B27,$D$4:$D$23)</f>
      </c>
    </row>
    <row r="28" spans="2:4" x14ac:dyDescent="0.25">
      <c r="B28" t="s">
        <v>56</v>
      </c>
      <c r="D28" s="23">
        <f>SUMIF($C$4:$C$23,B28,$D$4:$D$23)</f>
      </c>
    </row>
    <row r="29" spans="2:4" x14ac:dyDescent="0.25">
      <c r="B29" t="s">
        <v>57</v>
      </c>
      <c r="D29" s="23">
        <f>SUMIF($C$4:$C$23,B29,$D$4:$D$23)</f>
      </c>
    </row>
    <row r="30" spans="2:4" x14ac:dyDescent="0.25">
      <c r="B30" t="s">
        <v>58</v>
      </c>
      <c r="D30" s="23">
        <f>SUMIF($C$4:$C$23,B30,$D$4:$D$23)</f>
      </c>
    </row>
    <row r="31" spans="2:4" x14ac:dyDescent="0.25">
      <c r="B31" t="s">
        <v>59</v>
      </c>
      <c r="D31" s="23">
        <f>SUMIF($C$4:$C$23,B31,$D$4:$D$23)</f>
      </c>
    </row>
    <row r="32" spans="2:4" x14ac:dyDescent="0.25">
      <c r="B32" t="s">
        <v>60</v>
      </c>
      <c r="D32" s="23">
        <f>SUMIF($C$4:$C$23,B32,$D$4:$D$23)</f>
      </c>
    </row>
  </sheetData>
  <mergeCells count="1">
    <mergeCell ref="A1:E1"/>
  </mergeCells>
  <dataValidations count="4">
    <dataValidation type="list" allowBlank="1" sqref="C10:C23">
      <formula1>"Gross rental income,Repairs &amp; maintenance,Letting agent fees,Insurance,Finance costs (interest),Council tax / utilities,Other allowable cost"</formula1>
    </dataValidation>
    <dataValidation type="list" allowBlank="1" sqref="C4:C23">
      <formula1>"Gross rental income,Repairs &amp; maintenance,Letting agent fees,Insurance,Finance costs (interest),Council tax / utilities,Other allowable cost"</formula1>
    </dataValidation>
    <dataValidation type="list" allowBlank="1" sqref="E10:E23">
      <formula1>"Q1,Q2,Q3,Q4"</formula1>
    </dataValidation>
    <dataValidation type="list" allowBlank="1" sqref="E4:E23">
      <formula1>"Q1,Q2,Q3,Q4"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4"/>
  <sheetFormatPr defaultRowHeight="15" outlineLevelRow="0" outlineLevelCol="0" x14ac:dyDescent="55"/>
  <cols>
    <col min="1" max="1" width="92" customWidth="1"/>
  </cols>
  <sheetData>
    <row r="1" spans="1:1" x14ac:dyDescent="0.25">
      <c r="A1" s="24" t="s">
        <v>61</v>
      </c>
    </row>
    <row r="2" spans="1:1" x14ac:dyDescent="0.25">
      <c r="A2" t="s">
        <v>62</v>
      </c>
    </row>
    <row r="3" spans="1:1" x14ac:dyDescent="0.25">
      <c r="A3" t="s">
        <v>63</v>
      </c>
    </row>
    <row r="4" spans="1:1" x14ac:dyDescent="0.25">
      <c r="A4" t="s">
        <v>64</v>
      </c>
    </row>
    <row r="5" spans="1:1" x14ac:dyDescent="0.25">
      <c r="A5" t="s">
        <v>62</v>
      </c>
    </row>
    <row r="6" spans="1:1" x14ac:dyDescent="0.25">
      <c r="A6" s="25" t="s">
        <v>65</v>
      </c>
    </row>
    <row r="7" spans="1:1" x14ac:dyDescent="0.25">
      <c r="A7" t="s">
        <v>66</v>
      </c>
    </row>
    <row r="8" spans="1:1" x14ac:dyDescent="0.25">
      <c r="A8" t="s">
        <v>67</v>
      </c>
    </row>
    <row r="9" spans="1:1" x14ac:dyDescent="0.25">
      <c r="A9" t="s">
        <v>68</v>
      </c>
    </row>
    <row r="10" spans="1:1" x14ac:dyDescent="0.25">
      <c r="A10" t="s">
        <v>69</v>
      </c>
    </row>
    <row r="11" spans="1:1" x14ac:dyDescent="0.25">
      <c r="A11" t="s">
        <v>70</v>
      </c>
    </row>
    <row r="12" spans="1:1" x14ac:dyDescent="0.25">
      <c r="A12" t="s">
        <v>62</v>
      </c>
    </row>
    <row r="13" spans="1:1" x14ac:dyDescent="0.25">
      <c r="A13" t="s">
        <v>71</v>
      </c>
    </row>
    <row r="14" spans="1:1" x14ac:dyDescent="0.25">
      <c r="A1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04" customWidth="1"/>
  </cols>
  <sheetData>
    <row r="1" spans="1:1" x14ac:dyDescent="0.25">
      <c r="A1" s="26" t="s">
        <v>73</v>
      </c>
    </row>
    <row r="2" spans="1:1" x14ac:dyDescent="0.25">
      <c r="A2" t="s">
        <v>62</v>
      </c>
    </row>
    <row r="3" spans="1:1" x14ac:dyDescent="0.25">
      <c r="A3" t="s">
        <v>74</v>
      </c>
    </row>
    <row r="4" spans="1:1" x14ac:dyDescent="0.25">
      <c r="A4" t="s">
        <v>75</v>
      </c>
    </row>
    <row r="5" spans="1:1" x14ac:dyDescent="0.25">
      <c r="A5" t="s">
        <v>76</v>
      </c>
    </row>
    <row r="6" spans="1:1" x14ac:dyDescent="0.25">
      <c r="A6" t="s">
        <v>77</v>
      </c>
    </row>
    <row r="7" spans="1:1" x14ac:dyDescent="0.25">
      <c r="A7" t="s">
        <v>62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62</v>
      </c>
    </row>
    <row r="12" spans="1:1" x14ac:dyDescent="0.25">
      <c r="A12" t="s">
        <v>81</v>
      </c>
    </row>
    <row r="13" spans="1:1" x14ac:dyDescent="0.25">
      <c r="A13" t="s">
        <v>82</v>
      </c>
    </row>
    <row r="14" spans="1:1" x14ac:dyDescent="0.25">
      <c r="A14" t="s">
        <v>62</v>
      </c>
    </row>
    <row r="15" spans="1:1" x14ac:dyDescent="0.25">
      <c r="A15" t="s">
        <v>83</v>
      </c>
    </row>
    <row r="16" spans="1:1" x14ac:dyDescent="0.25">
      <c r="A16" t="s">
        <v>84</v>
      </c>
    </row>
    <row r="17" spans="1:1" x14ac:dyDescent="0.25">
      <c r="A17" t="s">
        <v>85</v>
      </c>
    </row>
    <row r="18" spans="1:1" x14ac:dyDescent="0.25">
      <c r="A18" t="s">
        <v>62</v>
      </c>
    </row>
    <row r="19" spans="1:1" x14ac:dyDescent="0.25">
      <c r="A19" t="s">
        <v>86</v>
      </c>
    </row>
    <row r="20" spans="1:1" x14ac:dyDescent="0.25">
      <c r="A20" t="s">
        <v>87</v>
      </c>
    </row>
    <row r="21" spans="1:1" x14ac:dyDescent="0.25">
      <c r="A21" t="s">
        <v>88</v>
      </c>
    </row>
    <row r="22" spans="1:1" x14ac:dyDescent="0.25">
      <c r="A22" t="s">
        <v>62</v>
      </c>
    </row>
    <row r="23" spans="1:1" x14ac:dyDescent="0.25">
      <c r="A23" t="s">
        <v>89</v>
      </c>
    </row>
    <row r="24" spans="1:1" x14ac:dyDescent="0.25">
      <c r="A24" t="s">
        <v>90</v>
      </c>
    </row>
    <row r="25" spans="1:1" x14ac:dyDescent="0.25">
      <c r="A25" t="s">
        <v>62</v>
      </c>
    </row>
    <row r="26" spans="1:1" x14ac:dyDescent="0.25">
      <c r="A26" t="s">
        <v>91</v>
      </c>
    </row>
    <row r="27" spans="1:1" x14ac:dyDescent="0.25">
      <c r="A2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Rates</vt:lpstr>
      <vt:lpstr>Am I in</vt:lpstr>
      <vt:lpstr>Quarter tracker</vt:lpstr>
      <vt:lpstr>Records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Tax Partners</dc:creator>
  <dc:title/>
  <dc:subject/>
  <dc:description/>
  <cp:keywords/>
  <cp:category/>
  <cp:lastModifiedBy>Property Tax Partners</cp:lastModifiedBy>
  <dcterms:created xsi:type="dcterms:W3CDTF">2024-01-01T00:00:00Z</dcterms:created>
  <dcterms:modified xsi:type="dcterms:W3CDTF">2024-01-01T00:00:00Z</dcterms:modified>
</cp:coreProperties>
</file>