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Lookups" state="veryHidden" r:id="rId5"/>
    <sheet sheetId="3" name="Your figures" state="visible" r:id="rId6"/>
    <sheet sheetId="4" name="Start here" state="visible" r:id="rId7"/>
    <sheet sheetId="5" name="Notes" state="visible" r:id="rId8"/>
  </sheets>
  <definedNames>
    <definedName name="Rate_Basic">Rates!$B$2</definedName>
    <definedName name="Rate_Higher">Rates!$B$3</definedName>
    <definedName name="Rate_Additional">Rates!$B$4</definedName>
    <definedName name="Reducer_2026">Rates!$B$5</definedName>
    <definedName name="Reducer_2027">Rates!$B$6</definedName>
    <definedName name="CGT_AEA">Rates!$B$7</definedName>
    <definedName name="CGT_Basic">Rates!$B$8</definedName>
    <definedName name="CGT_Higher">Rates!$B$9</definedName>
    <definedName name="SDLT_Surcharge">Rates!$B$10</definedName>
    <definedName name="CT_Small">Rates!$B$11</definedName>
    <definedName name="CT_Main">Rates!$B$12</definedName>
    <definedName name="CT_Lower">Rates!$B$13</definedName>
    <definedName name="CT_Upper">Rates!$B$14</definedName>
    <definedName name="CT_Fraction">Rates!$B$15</definedName>
    <definedName name="Div_Basic">Rates!$B$16</definedName>
    <definedName name="Div_Higher">Rates!$B$17</definedName>
    <definedName name="Div_Additional">Rates!$B$18</definedName>
    <definedName name="SDLT_Lowers">Rates!$A$22:$A$26</definedName>
    <definedName name="SDLT_Uppers">Rates!$B$22:$B$26</definedName>
    <definedName name="SDLT_Rates">Rates!$C$22:$C$26</definedName>
    <definedName name="PersonalAllowance">Rates!$B$28</definedName>
    <definedName name="BasicRateBand">Rates!$B$29</definedName>
    <definedName name="DividendAllowance">Rates!$B$30</definedName>
    <definedName name="BasicRateTop">Rates!$B$31</definedName>
    <definedName name="HigherRateTop">Rates!$B$32</definedName>
    <definedName name="In_Value">'Your figures'!$B$3</definedName>
    <definedName name="In_Base">'Your figures'!$B$4</definedName>
    <definedName name="In_Costs">'Your figures'!$B$5</definedName>
    <definedName name="In_Rent">'Your figures'!$B$6</definedName>
    <definedName name="In_Interest">'Your figures'!$B$7</definedName>
    <definedName name="In_Other">'Your figures'!$B$8</definedName>
    <definedName name="In_OtherIncome">'Your figures'!$B$9</definedName>
    <definedName name="In_Band">'Your figures'!$B$10</definedName>
    <definedName name="In_Year">'Your figures'!$B$11</definedName>
    <definedName name="In_Relief">'Your figures'!$B$12</definedName>
    <definedName name="In_Extract">'Your figures'!$B$13</definedName>
    <definedName name="MarginalRate">'Your figures'!$B$15</definedName>
    <definedName name="ReducerRate">'Your figures'!$B$16</definedName>
    <definedName name="DivRate">'Your figures'!$B$17</definedName>
    <definedName name="ReliefFlag">'Your figures'!$B$18</definedName>
    <definedName name="RetainFlag">'Your figures'!$B$19</definedName>
    <definedName name="Gain">'Your figures'!$B$22</definedName>
    <definedName name="TaxableGain">'Your figures'!$B$23</definedName>
    <definedName name="UnusedBand">'Your figures'!$B$24</definedName>
    <definedName name="CgtFull">'Your figures'!$B$25</definedName>
    <definedName name="CgtCost">'Your figures'!$B$26</definedName>
    <definedName name="SdltStandard">'Your figures'!$B$27</definedName>
    <definedName name="SdltSurcharge">'Your figures'!$B$28</definedName>
    <definedName name="SdltCost">'Your figures'!$B$29</definedName>
    <definedName name="UpfrontCost">'Your figures'!$B$30</definedName>
    <definedName name="ProfitBeforeFinance">'Your figures'!$E$22</definedName>
    <definedName name="PersBefore">'Your figures'!$E$23</definedName>
    <definedName name="PersCredit">'Your figures'!$E$24</definedName>
    <definedName name="PersonalTax">'Your figures'!$E$25</definedName>
    <definedName name="CoProfit">'Your figures'!$E$26</definedName>
    <definedName name="CoTax">'Your figures'!$E$27</definedName>
    <definedName name="DivTax">'Your figures'!$E$28</definedName>
    <definedName name="CompanyTax">'Your figures'!$E$29</definedName>
    <definedName name="DivDrawn">'Your figures'!$B$37</definedName>
    <definedName name="UnusedPA">'Your figures'!$B$38</definedName>
    <definedName name="OtherTaxable">'Your figures'!$B$39</definedName>
    <definedName name="DivAfterPA">'Your figures'!$B$40</definedName>
    <definedName name="AllowanceUsed">'Your figures'!$B$41</definedName>
    <definedName name="TaxableDiv">'Your figures'!$B$42</definedName>
    <definedName name="DivAtBasic">'Your figures'!$B$43</definedName>
    <definedName name="DivAtHigher">'Your figures'!$B$44</definedName>
    <definedName name="DivAtAdditional">'Your figures'!$B$45</definedName>
    <definedName name="DivTaxDetail">'Your figures'!$B$46</definedName>
    <definedName name="AnnualSaving">'Your figures'!$E$32</definedName>
  </definedNames>
  <calcPr calcId="171027"/>
</workbook>
</file>

<file path=xl/sharedStrings.xml><?xml version="1.0" encoding="utf-8"?>
<sst xmlns="http://schemas.openxmlformats.org/spreadsheetml/2006/main" count="146" uniqueCount="133">
  <si>
    <t>Locked rates — do not edit</t>
  </si>
  <si>
    <t>Income tax — basic rate</t>
  </si>
  <si>
    <t>Income tax — higher rate</t>
  </si>
  <si>
    <t>Income tax — additional rate</t>
  </si>
  <si>
    <t>Section 24 finance-cost credit (2026/27)</t>
  </si>
  <si>
    <t>Section 24 finance-cost credit (2027/28)</t>
  </si>
  <si>
    <t>CGT annual exempt amount (£)</t>
  </si>
  <si>
    <t>CGT residential — basic rate</t>
  </si>
  <si>
    <t>CGT residential — higher rate</t>
  </si>
  <si>
    <t>SDLT additional-dwelling surcharge</t>
  </si>
  <si>
    <t>Corporation Tax — small profits rate</t>
  </si>
  <si>
    <t>Corporation Tax — main rate</t>
  </si>
  <si>
    <t>Corporation Tax — lower limit (£)</t>
  </si>
  <si>
    <t>Corporation Tax — upper limit (£)</t>
  </si>
  <si>
    <t>Corporation Tax — marginal fraction</t>
  </si>
  <si>
    <t>Dividend tax — basic rate</t>
  </si>
  <si>
    <t>Dividend tax — higher rate</t>
  </si>
  <si>
    <t>Dividend tax — additional rate</t>
  </si>
  <si>
    <t>Standard SDLT bands (England &amp; NI)</t>
  </si>
  <si>
    <t>Lower threshold (£)</t>
  </si>
  <si>
    <t>Upper threshold (£)</t>
  </si>
  <si>
    <t>Rate</t>
  </si>
  <si>
    <t>Personal allowance (£)</t>
  </si>
  <si>
    <t>Basic-rate band, CGT (£)</t>
  </si>
  <si>
    <t>Dividend allowance (£)</t>
  </si>
  <si>
    <t>Top of basic-rate band, total income (£)</t>
  </si>
  <si>
    <t>Additional-rate threshold, total income (£)</t>
  </si>
  <si>
    <t>Band</t>
  </si>
  <si>
    <t>IncomeRate</t>
  </si>
  <si>
    <t>DivRate</t>
  </si>
  <si>
    <t>Year</t>
  </si>
  <si>
    <t>Reducer</t>
  </si>
  <si>
    <t>Relief</t>
  </si>
  <si>
    <t>Flag</t>
  </si>
  <si>
    <t>Extraction</t>
  </si>
  <si>
    <t>Basic rate (20%)</t>
  </si>
  <si>
    <t>2026/27 (20% credit)</t>
  </si>
  <si>
    <t>No — pay CGT on transfer</t>
  </si>
  <si>
    <t>Draw it all out as dividends</t>
  </si>
  <si>
    <t>Higher rate (40%)</t>
  </si>
  <si>
    <t>2027/28 (22% credit)</t>
  </si>
  <si>
    <t>Yes — s.162 relief claimed</t>
  </si>
  <si>
    <t>Retain and reinvest in the company</t>
  </si>
  <si>
    <t>Additional rate (45%)</t>
  </si>
  <si>
    <t>Your figures — edit the blue cells</t>
  </si>
  <si>
    <t>Current property value</t>
  </si>
  <si>
    <t>Original purchase price (base cost)</t>
  </si>
  <si>
    <t>Buying / improvement costs (reduce the gain)</t>
  </si>
  <si>
    <t>Annual rental income</t>
  </si>
  <si>
    <t>Annual mortgage interest</t>
  </si>
  <si>
    <t>Other running costs</t>
  </si>
  <si>
    <t>Other taxable income (for the CGT band split)</t>
  </si>
  <si>
    <t>Your income tax band</t>
  </si>
  <si>
    <t>Tax year</t>
  </si>
  <si>
    <t>Claim s.162 incorporation relief?</t>
  </si>
  <si>
    <t>Profit you take out of the company</t>
  </si>
  <si>
    <t>Marginal income tax rate</t>
  </si>
  <si>
    <t>Section 24 finance-cost credit rate</t>
  </si>
  <si>
    <t>Dividend tax rate (your band)</t>
  </si>
  <si>
    <t>s.162 relief flag (1 = CGT deferred)</t>
  </si>
  <si>
    <t>Retain-in-company flag (1 = no dividend)</t>
  </si>
  <si>
    <t>Upfront cost — moving the property into a company</t>
  </si>
  <si>
    <t>Annual tax — stay personal vs company</t>
  </si>
  <si>
    <t>Chargeable gain (value − base − costs)</t>
  </si>
  <si>
    <t>Rental profit before interest</t>
  </si>
  <si>
    <t>Taxable gain (after £3,000 annual exempt amount)</t>
  </si>
  <si>
    <t>Personal income tax before credit</t>
  </si>
  <si>
    <t>Unused basic-rate band (after other income)</t>
  </si>
  <si>
    <t>Section 24 finance-cost credit (capped)</t>
  </si>
  <si>
    <t>CGT on transfer (18% in band, 24% above)</t>
  </si>
  <si>
    <t>Personal income tax (per year)</t>
  </si>
  <si>
    <t>CGT actually due (£0 if s.162 relief claimed)</t>
  </si>
  <si>
    <t>Company profit (interest deducted in full)</t>
  </si>
  <si>
    <t>SDLT — standard bands (marginal)</t>
  </si>
  <si>
    <t>Corporation Tax</t>
  </si>
  <si>
    <t>SDLT — additional-dwelling surcharge (5%)</t>
  </si>
  <si>
    <t>Dividend tax on extracting profit (0 if retained)</t>
  </si>
  <si>
    <t>SDLT total</t>
  </si>
  <si>
    <t>Total company tax (CT + dividends, per year)</t>
  </si>
  <si>
    <t>Total upfront cost (CGT + SDLT)</t>
  </si>
  <si>
    <t>The decision</t>
  </si>
  <si>
    <t>Annual saving (personal − company tax)</t>
  </si>
  <si>
    <t>Break-even (years to recover the upfront cost)</t>
  </si>
  <si>
    <t>Worth incorporating on these figures?</t>
  </si>
  <si>
    <t>Dividend tax detail (if you extract profit)</t>
  </si>
  <si>
    <t>Dividend drawn (post-CT profit)</t>
  </si>
  <si>
    <t>Unused personal allowance</t>
  </si>
  <si>
    <t>Other taxable income (above PA)</t>
  </si>
  <si>
    <t>Dividend after PA</t>
  </si>
  <si>
    <t>Dividend allowance used (tax-free)</t>
  </si>
  <si>
    <t>Taxable dividend</t>
  </si>
  <si>
    <t>Taxed at basic dividend rate (8.75%)</t>
  </si>
  <si>
    <t>Taxed at higher dividend rate (33.75%)</t>
  </si>
  <si>
    <t>Taxed at additional dividend rate (39.35%)</t>
  </si>
  <si>
    <t>Dividend tax total</t>
  </si>
  <si>
    <t>Stay personal vs incorporate — property company model</t>
  </si>
  <si>
    <t/>
  </si>
  <si>
    <t>This spreadsheet weighs the UPFRONT cost of moving a rental property into a limited company</t>
  </si>
  <si>
    <t>(Capital Gains Tax on the deemed market-value disposal, plus Stamp Duty Land Tax at standard</t>
  </si>
  <si>
    <t>bands and the 5% additional-dwelling surcharge) against the ANNUAL tax saving the company</t>
  </si>
  <si>
    <t>structure gives, and works out the break-even point in years.</t>
  </si>
  <si>
    <t>How to use it:</t>
  </si>
  <si>
    <t>1. Go to the 'Your figures' tab.</t>
  </si>
  <si>
    <t>2. Edit only the blue cells: property value, base cost, rents, interest, costs, your band, year,</t>
  </si>
  <si>
    <t xml:space="preserve">   whether you claim s.162 relief, and whether you draw the profit out or reinvest it.</t>
  </si>
  <si>
    <t>3. Everything else updates automatically: upfront cost, annual saving, break-even.</t>
  </si>
  <si>
    <t>The 'Rates' tab holds the locked tax rates and SDLT bands — the same source the website uses.</t>
  </si>
  <si>
    <t>Read the 'Notes' tab for the assumptions and what this model does NOT cover.</t>
  </si>
  <si>
    <t>Assumptions and limitations</t>
  </si>
  <si>
    <t>• Upfront cost — Capital Gains Tax. Transferring a property into your own company is a disposal at</t>
  </si>
  <si>
    <t xml:space="preserve">  market value between connected persons (TCGA 1992 s.17/s.18), so CGT can arise on the gain. This</t>
  </si>
  <si>
    <t xml:space="preserve">  model applies the £3,000 annual exempt amount, then 18% on the gain within your unused basic-rate</t>
  </si>
  <si>
    <t xml:space="preserve">  band and 24% above. It assumes the property was never your main home (no Private Residence Relief).</t>
  </si>
  <si>
    <t>• s.162 incorporation relief can DEFER the CGT where the lettings are a genuine business and ALL the</t>
  </si>
  <si>
    <t xml:space="preserve">  assets are transferred wholly or partly for shares. Since Finance Act 2026 it must be CLAIMED for</t>
  </si>
  <si>
    <t xml:space="preserve">  transfers on or after 6 April 2026 (no longer automatic), and HMRC scrutinises whether residential</t>
  </si>
  <si>
    <t xml:space="preserve">  letting really amounts to a business — usually needing a portfolio under active management. The</t>
  </si>
  <si>
    <t xml:space="preserve">  relief toggle simply zeroes the CGT; it does not test whether you qualify.</t>
  </si>
  <si>
    <t>• Upfront cost — SDLT. The company's purchase pays SDLT at standard bands PLUS the 5% additional-</t>
  </si>
  <si>
    <t xml:space="preserve">  dwelling surcharge on the whole value. A genuine letting company is relieved from the 15% Sch 4A</t>
  </si>
  <si>
    <t xml:space="preserve">  rate, so it pays standard rates plus the surcharge. SDLT applies in England &amp; NI; Scotland (LBTT,</t>
  </si>
  <si>
    <t xml:space="preserve">  8% ADS) and Wales (LTT) differ and are not modelled here.</t>
  </si>
  <si>
    <t>• Annual saving. Personally, the Section 24 restriction means mortgage interest is not deducted; you</t>
  </si>
  <si>
    <t xml:space="preserve">  pay tax on the rents (less non-finance costs) at your marginal rate, less a 20% (rising to 22% from</t>
  </si>
  <si>
    <t xml:space="preserve">  2027/28) finance-cost credit. A company deducts interest in full and pays Corporation Tax (19% to</t>
  </si>
  <si>
    <t xml:space="preserve">  £50,000, 25% from £250,000, marginal relief between). The company's money is not yours: unless you</t>
  </si>
  <si>
    <t xml:space="preserve">  retain and reinvest it, drawing it out as dividends is taxed again (8.75% / 33.75% / 39.35%).</t>
  </si>
  <si>
    <t>• Not modelled: company buy-to-let mortgage costs (usually higher), ATED on £500k+ dwellings (relieved</t>
  </si>
  <si>
    <t xml:space="preserve">  for genuine commercial lets but the return must still be filed), the £100,000 personal-allowance taper,</t>
  </si>
  <si>
    <t xml:space="preserve">  ongoing company accounts/filing costs, and the second-order effects on allowances and child benefit.</t>
  </si>
  <si>
    <t>• Figures are rounded and use 2026/27 rates unless you pick 2027/28. This is general guidance, not advice</t>
  </si>
  <si>
    <t xml:space="preserve">  for your specific situation. Incorporation is consequential and hard to reverse — speak to a property</t>
  </si>
  <si>
    <t xml:space="preserve">  tax specialist and model it property by property before acting.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</si>
</sst>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######"/>
    <numFmt numFmtId="165" formatCode="£#,##0"/>
    <numFmt numFmtId="166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F172A"/>
    </font>
    <font>
      <b/>
      <color rgb="FF0F172A"/>
      <sz val="16"/>
    </font>
    <font>
      <b/>
      <color rgb="FF0F172A"/>
      <sz val="12"/>
    </font>
    <font>
      <b/>
      <color rgb="FF0F172A"/>
      <sz val="14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9" fontId="0" fillId="0" borderId="0" xfId="0" applyNumberFormat="1"/>
    <xf numFmtId="164" fontId="0" fillId="0" borderId="0" xfId="0" applyNumberFormat="1"/>
    <xf numFmtId="0" fontId="2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165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10" fontId="0" fillId="0" borderId="0" xfId="0" applyNumberFormat="1"/>
    <xf numFmtId="0" fontId="0" fillId="4" borderId="0" xfId="0" applyFill="1" applyAlignment="1">
      <alignment wrapText="1"/>
    </xf>
    <xf numFmtId="165" fontId="0" fillId="0" borderId="0" xfId="0" applyNumberFormat="1"/>
    <xf numFmtId="0" fontId="2" fillId="4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166" fontId="0" fillId="0" borderId="0" xfId="0" applyNumberFormat="1"/>
    <xf numFmtId="0" fontId="3" fillId="5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32"/>
  <sheetFormatPr defaultRowHeight="15" outlineLevelRow="0" outlineLevelCol="0" x14ac:dyDescent="55"/>
  <cols>
    <col min="1" max="1" width="50" style="1" customWidth="1"/>
    <col min="2" max="2" width="16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0.2</v>
      </c>
    </row>
    <row r="3" spans="1:2" x14ac:dyDescent="0.25">
      <c r="A3" s="3" t="s">
        <v>2</v>
      </c>
      <c r="B3" s="4">
        <v>0.4</v>
      </c>
    </row>
    <row r="4" spans="1:2" x14ac:dyDescent="0.25">
      <c r="A4" s="3" t="s">
        <v>3</v>
      </c>
      <c r="B4" s="4">
        <v>0.45</v>
      </c>
    </row>
    <row r="5" spans="1:2" x14ac:dyDescent="0.25">
      <c r="A5" s="3" t="s">
        <v>4</v>
      </c>
      <c r="B5" s="4">
        <v>0.2</v>
      </c>
    </row>
    <row r="6" spans="1:2" x14ac:dyDescent="0.25">
      <c r="A6" s="3" t="s">
        <v>5</v>
      </c>
      <c r="B6" s="4">
        <v>0.22</v>
      </c>
    </row>
    <row r="7" spans="1:2" x14ac:dyDescent="0.25">
      <c r="A7" s="3" t="s">
        <v>6</v>
      </c>
      <c r="B7" s="5">
        <v>3000</v>
      </c>
    </row>
    <row r="8" spans="1:2" x14ac:dyDescent="0.25">
      <c r="A8" s="3" t="s">
        <v>7</v>
      </c>
      <c r="B8" s="4">
        <v>0.18</v>
      </c>
    </row>
    <row r="9" spans="1:2" x14ac:dyDescent="0.25">
      <c r="A9" s="3" t="s">
        <v>8</v>
      </c>
      <c r="B9" s="4">
        <v>0.24</v>
      </c>
    </row>
    <row r="10" spans="1:2" x14ac:dyDescent="0.25">
      <c r="A10" s="3" t="s">
        <v>9</v>
      </c>
      <c r="B10" s="4">
        <v>0.05</v>
      </c>
    </row>
    <row r="11" spans="1:2" x14ac:dyDescent="0.25">
      <c r="A11" s="3" t="s">
        <v>10</v>
      </c>
      <c r="B11" s="4">
        <v>0.19</v>
      </c>
    </row>
    <row r="12" spans="1:2" x14ac:dyDescent="0.25">
      <c r="A12" s="3" t="s">
        <v>11</v>
      </c>
      <c r="B12" s="4">
        <v>0.25</v>
      </c>
    </row>
    <row r="13" spans="1:2" x14ac:dyDescent="0.25">
      <c r="A13" s="3" t="s">
        <v>12</v>
      </c>
      <c r="B13" s="5">
        <v>50000</v>
      </c>
    </row>
    <row r="14" spans="1:2" x14ac:dyDescent="0.25">
      <c r="A14" s="3" t="s">
        <v>13</v>
      </c>
      <c r="B14" s="5">
        <v>250000</v>
      </c>
    </row>
    <row r="15" spans="1:2" x14ac:dyDescent="0.25">
      <c r="A15" s="3" t="s">
        <v>14</v>
      </c>
      <c r="B15" s="5">
        <v>0.015</v>
      </c>
    </row>
    <row r="16" spans="1:2" x14ac:dyDescent="0.25">
      <c r="A16" s="3" t="s">
        <v>15</v>
      </c>
      <c r="B16" s="4">
        <v>0.0875</v>
      </c>
    </row>
    <row r="17" spans="1:2" x14ac:dyDescent="0.25">
      <c r="A17" s="3" t="s">
        <v>16</v>
      </c>
      <c r="B17" s="4">
        <v>0.3375</v>
      </c>
    </row>
    <row r="18" spans="1:2" x14ac:dyDescent="0.25">
      <c r="A18" s="3" t="s">
        <v>17</v>
      </c>
      <c r="B18" s="4">
        <v>0.3935</v>
      </c>
    </row>
    <row r="20" spans="1:2" x14ac:dyDescent="0.25">
      <c r="A20" s="2" t="s">
        <v>18</v>
      </c>
      <c r="B20" s="2"/>
    </row>
    <row r="21" spans="1:3" x14ac:dyDescent="0.25">
      <c r="A21" s="3" t="s">
        <v>19</v>
      </c>
      <c r="B21" s="6" t="s">
        <v>20</v>
      </c>
      <c r="C21" s="6" t="s">
        <v>21</v>
      </c>
    </row>
    <row r="22" spans="1:3" x14ac:dyDescent="0.25">
      <c r="A22" s="7">
        <v>0</v>
      </c>
      <c r="B22" s="8">
        <v>125000</v>
      </c>
      <c r="C22" s="4">
        <v>0</v>
      </c>
    </row>
    <row r="23" spans="1:3" x14ac:dyDescent="0.25">
      <c r="A23" s="7">
        <v>125000</v>
      </c>
      <c r="B23" s="8">
        <v>250000</v>
      </c>
      <c r="C23" s="4">
        <v>0.02</v>
      </c>
    </row>
    <row r="24" spans="1:3" x14ac:dyDescent="0.25">
      <c r="A24" s="7">
        <v>250000</v>
      </c>
      <c r="B24" s="8">
        <v>925000</v>
      </c>
      <c r="C24" s="4">
        <v>0.05</v>
      </c>
    </row>
    <row r="25" spans="1:3" x14ac:dyDescent="0.25">
      <c r="A25" s="7">
        <v>925000</v>
      </c>
      <c r="B25" s="8">
        <v>1500000</v>
      </c>
      <c r="C25" s="4">
        <v>0.1</v>
      </c>
    </row>
    <row r="26" spans="1:3" x14ac:dyDescent="0.25">
      <c r="A26" s="7">
        <v>1500000</v>
      </c>
      <c r="B26" s="8">
        <v>1000000000</v>
      </c>
      <c r="C26" s="4">
        <v>0.12</v>
      </c>
    </row>
    <row r="28" spans="1:2" x14ac:dyDescent="0.25">
      <c r="A28" s="3" t="s">
        <v>22</v>
      </c>
      <c r="B28" s="8">
        <v>12570</v>
      </c>
    </row>
    <row r="29" spans="1:2" x14ac:dyDescent="0.25">
      <c r="A29" s="3" t="s">
        <v>23</v>
      </c>
      <c r="B29" s="8">
        <v>37700</v>
      </c>
    </row>
    <row r="30" spans="1:2" x14ac:dyDescent="0.25">
      <c r="A30" s="3" t="s">
        <v>24</v>
      </c>
      <c r="B30" s="8">
        <v>500</v>
      </c>
    </row>
    <row r="31" spans="1:2" x14ac:dyDescent="0.25">
      <c r="A31" s="3" t="s">
        <v>25</v>
      </c>
      <c r="B31" s="8">
        <v>50270</v>
      </c>
    </row>
    <row r="32" spans="1:2" x14ac:dyDescent="0.25">
      <c r="A32" s="3" t="s">
        <v>26</v>
      </c>
      <c r="B32" s="8">
        <v>125140</v>
      </c>
    </row>
  </sheetData>
  <sheetProtection sheet="1"/>
  <mergeCells count="2">
    <mergeCell ref="A1:B1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2" x14ac:dyDescent="0.25">
      <c r="A1" t="s">
        <v>27</v>
      </c>
      <c r="B1" t="s">
        <v>28</v>
      </c>
      <c r="C1" t="s">
        <v>29</v>
      </c>
      <c r="E1" t="s">
        <v>30</v>
      </c>
      <c r="F1" t="s">
        <v>31</v>
      </c>
      <c r="H1" t="s">
        <v>32</v>
      </c>
      <c r="I1" t="s">
        <v>33</v>
      </c>
      <c r="K1" t="s">
        <v>34</v>
      </c>
      <c r="L1" t="s">
        <v>33</v>
      </c>
    </row>
    <row r="2" spans="1:12" x14ac:dyDescent="0.25">
      <c r="A2" t="s">
        <v>35</v>
      </c>
      <c r="B2">
        <f>Rate_Basic</f>
      </c>
      <c r="C2">
        <f>Div_Basic</f>
      </c>
      <c r="E2" t="s">
        <v>36</v>
      </c>
      <c r="F2">
        <f>Reducer_2026</f>
      </c>
      <c r="H2" t="s">
        <v>37</v>
      </c>
      <c r="I2">
        <v>0</v>
      </c>
      <c r="K2" t="s">
        <v>38</v>
      </c>
      <c r="L2">
        <v>0</v>
      </c>
    </row>
    <row r="3" spans="1:12" x14ac:dyDescent="0.25">
      <c r="A3" t="s">
        <v>39</v>
      </c>
      <c r="B3">
        <f>Rate_Higher</f>
      </c>
      <c r="C3">
        <f>Div_Higher</f>
      </c>
      <c r="E3" t="s">
        <v>40</v>
      </c>
      <c r="F3">
        <f>Reducer_2027</f>
      </c>
      <c r="H3" t="s">
        <v>41</v>
      </c>
      <c r="I3">
        <v>1</v>
      </c>
      <c r="K3" t="s">
        <v>42</v>
      </c>
      <c r="L3">
        <v>1</v>
      </c>
    </row>
    <row r="4" spans="1:3" x14ac:dyDescent="0.25">
      <c r="A4" t="s">
        <v>43</v>
      </c>
      <c r="B4">
        <f>Rate_Additional</f>
      </c>
      <c r="C4">
        <f>Div_Additional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E46"/>
  <sheetFormatPr defaultRowHeight="15" outlineLevelRow="0" outlineLevelCol="0" x14ac:dyDescent="55"/>
  <cols>
    <col min="1" max="1" width="48" style="1" customWidth="1"/>
    <col min="2" max="2" width="18" customWidth="1"/>
    <col min="3" max="3" width="4" customWidth="1"/>
    <col min="4" max="4" width="48" style="1" customWidth="1"/>
    <col min="5" max="5" width="18" customWidth="1"/>
  </cols>
  <sheetData>
    <row r="1" spans="1:4" x14ac:dyDescent="0.25">
      <c r="A1" s="2" t="s">
        <v>44</v>
      </c>
      <c r="B1" s="2"/>
      <c r="D1" s="1"/>
    </row>
    <row r="3" spans="1:4" x14ac:dyDescent="0.25">
      <c r="A3" s="3" t="s">
        <v>45</v>
      </c>
      <c r="B3" s="9">
        <v>300000</v>
      </c>
      <c r="D3" s="1"/>
    </row>
    <row r="4" spans="1:4" x14ac:dyDescent="0.25">
      <c r="A4" s="3" t="s">
        <v>46</v>
      </c>
      <c r="B4" s="9">
        <v>200000</v>
      </c>
      <c r="D4" s="1"/>
    </row>
    <row r="5" spans="1:4" x14ac:dyDescent="0.25">
      <c r="A5" s="3" t="s">
        <v>47</v>
      </c>
      <c r="B5" s="9">
        <v>0</v>
      </c>
      <c r="D5" s="1"/>
    </row>
    <row r="6" spans="1:4" x14ac:dyDescent="0.25">
      <c r="A6" s="3" t="s">
        <v>48</v>
      </c>
      <c r="B6" s="9">
        <v>24000</v>
      </c>
      <c r="D6" s="1"/>
    </row>
    <row r="7" spans="1:4" x14ac:dyDescent="0.25">
      <c r="A7" s="3" t="s">
        <v>49</v>
      </c>
      <c r="B7" s="9">
        <v>9000</v>
      </c>
      <c r="D7" s="1"/>
    </row>
    <row r="8" spans="1:4" x14ac:dyDescent="0.25">
      <c r="A8" s="3" t="s">
        <v>50</v>
      </c>
      <c r="B8" s="9">
        <v>3000</v>
      </c>
      <c r="D8" s="1"/>
    </row>
    <row r="9" spans="1:4" x14ac:dyDescent="0.25">
      <c r="A9" s="3" t="s">
        <v>51</v>
      </c>
      <c r="B9" s="9">
        <v>0</v>
      </c>
      <c r="D9" s="1"/>
    </row>
    <row r="10" spans="1:4" x14ac:dyDescent="0.25">
      <c r="A10" s="3" t="s">
        <v>52</v>
      </c>
      <c r="B10" s="10" t="s">
        <v>39</v>
      </c>
      <c r="D10" s="1"/>
    </row>
    <row r="11" spans="1:4" x14ac:dyDescent="0.25">
      <c r="A11" s="3" t="s">
        <v>53</v>
      </c>
      <c r="B11" s="10" t="s">
        <v>36</v>
      </c>
      <c r="D11" s="1"/>
    </row>
    <row r="12" spans="1:4" x14ac:dyDescent="0.25">
      <c r="A12" s="3" t="s">
        <v>54</v>
      </c>
      <c r="B12" s="10" t="s">
        <v>37</v>
      </c>
      <c r="D12" s="1"/>
    </row>
    <row r="13" spans="1:4" x14ac:dyDescent="0.25">
      <c r="A13" s="3" t="s">
        <v>55</v>
      </c>
      <c r="B13" s="10" t="s">
        <v>38</v>
      </c>
      <c r="D13" s="1"/>
    </row>
    <row r="15" spans="1:4" x14ac:dyDescent="0.25">
      <c r="A15" s="3" t="s">
        <v>56</v>
      </c>
      <c r="B15" s="4">
        <f>VLOOKUP(In_Band,Lookups!$A$2:$C$4,2,FALSE)</f>
      </c>
      <c r="D15" s="1"/>
    </row>
    <row r="16" spans="1:4" x14ac:dyDescent="0.25">
      <c r="A16" s="3" t="s">
        <v>57</v>
      </c>
      <c r="B16" s="4">
        <f>VLOOKUP(In_Year,Lookups!$E$2:$F$3,2,FALSE)</f>
      </c>
      <c r="D16" s="1"/>
    </row>
    <row r="17" spans="1:4" x14ac:dyDescent="0.25">
      <c r="A17" s="3" t="s">
        <v>58</v>
      </c>
      <c r="B17" s="11">
        <f>VLOOKUP(In_Band,Lookups!$A$2:$C$4,3,FALSE)</f>
      </c>
      <c r="D17" s="1"/>
    </row>
    <row r="18" spans="1:4" x14ac:dyDescent="0.25">
      <c r="A18" s="3" t="s">
        <v>59</v>
      </c>
      <c r="B18">
        <f>VLOOKUP(In_Relief,Lookups!$H$2:$I$3,2,FALSE)</f>
      </c>
      <c r="D18" s="1"/>
    </row>
    <row r="19" spans="1:4" x14ac:dyDescent="0.25">
      <c r="A19" s="3" t="s">
        <v>60</v>
      </c>
      <c r="B19">
        <f>VLOOKUP(In_Extract,Lookups!$K$2:$L$3,2,FALSE)</f>
      </c>
      <c r="D19" s="1"/>
    </row>
    <row r="21" spans="1:5" x14ac:dyDescent="0.25">
      <c r="A21" s="2" t="s">
        <v>61</v>
      </c>
      <c r="B21" s="2"/>
      <c r="D21" s="2" t="s">
        <v>62</v>
      </c>
      <c r="E21" s="2"/>
    </row>
    <row r="22" spans="1:5" x14ac:dyDescent="0.25">
      <c r="A22" s="12" t="s">
        <v>63</v>
      </c>
      <c r="B22" s="13">
        <f>MAX(0,In_Value-In_Base-In_Costs)</f>
      </c>
      <c r="D22" s="12" t="s">
        <v>64</v>
      </c>
      <c r="E22" s="13">
        <f>In_Rent-In_Other</f>
      </c>
    </row>
    <row r="23" spans="1:5" x14ac:dyDescent="0.25">
      <c r="A23" s="12" t="s">
        <v>65</v>
      </c>
      <c r="B23" s="13">
        <f>MAX(0,Gain-CGT_AEA)</f>
      </c>
      <c r="D23" s="12" t="s">
        <v>66</v>
      </c>
      <c r="E23" s="13">
        <f>MAX(0,ProfitBeforeFinance)*MarginalRate</f>
      </c>
    </row>
    <row r="24" spans="1:5" x14ac:dyDescent="0.25">
      <c r="A24" s="12" t="s">
        <v>67</v>
      </c>
      <c r="B24" s="13">
        <f>MAX(0,BasicRateBand-MAX(0,In_OtherIncome-PersonalAllowance))</f>
      </c>
      <c r="D24" s="12" t="s">
        <v>68</v>
      </c>
      <c r="E24" s="13">
        <f>MIN(In_Interest,MAX(0,ProfitBeforeFinance))*ReducerRate</f>
      </c>
    </row>
    <row r="25" spans="1:5" x14ac:dyDescent="0.25">
      <c r="A25" s="12" t="s">
        <v>69</v>
      </c>
      <c r="B25" s="13">
        <f>MIN(TaxableGain,UnusedBand)*CGT_Basic+MAX(0,TaxableGain-UnusedBand)*CGT_Higher</f>
      </c>
      <c r="D25" s="14" t="s">
        <v>70</v>
      </c>
      <c r="E25" s="13">
        <f>MAX(0,PersBefore-PersCredit)</f>
      </c>
    </row>
    <row r="26" spans="1:5" x14ac:dyDescent="0.25">
      <c r="A26" s="12" t="s">
        <v>71</v>
      </c>
      <c r="B26" s="13">
        <f>IF(ReliefFlag=1,0,CgtFull)</f>
      </c>
      <c r="D26" s="12" t="s">
        <v>72</v>
      </c>
      <c r="E26" s="13">
        <f>MAX(0,ProfitBeforeFinance-In_Interest)</f>
      </c>
    </row>
    <row r="27" spans="1:5" x14ac:dyDescent="0.25">
      <c r="A27" s="12" t="s">
        <v>73</v>
      </c>
      <c r="B27" s="13">
        <f>SUMPRODUCT(SDLT_Rates,(MIN(In_Value,SDLT_Uppers)&gt;SDLT_Lowers)*(MIN(In_Value,SDLT_Uppers)-SDLT_Lowers))</f>
      </c>
      <c r="D27" s="12" t="s">
        <v>74</v>
      </c>
      <c r="E27" s="13">
        <f>IF(CoProfit&lt;=0,0,IF(CoProfit&lt;=CT_Lower,CoProfit*CT_Small,IF(CoProfit&gt;=CT_Upper,CoProfit*CT_Main,CoProfit*CT_Main-(CT_Upper-CoProfit)*CT_Fraction)))</f>
      </c>
    </row>
    <row r="28" spans="1:5" x14ac:dyDescent="0.25">
      <c r="A28" s="12" t="s">
        <v>75</v>
      </c>
      <c r="B28" s="13">
        <f>In_Value*SDLT_Surcharge</f>
      </c>
      <c r="D28" s="12" t="s">
        <v>76</v>
      </c>
      <c r="E28" s="13">
        <f>IF(RetainFlag=1,0,DivTaxDetail)</f>
      </c>
    </row>
    <row r="29" spans="1:5" x14ac:dyDescent="0.25">
      <c r="A29" s="12" t="s">
        <v>77</v>
      </c>
      <c r="B29" s="13">
        <f>SdltStandard+SdltSurcharge</f>
      </c>
      <c r="D29" s="14" t="s">
        <v>78</v>
      </c>
      <c r="E29" s="13">
        <f>CoTax+DivTax</f>
      </c>
    </row>
    <row r="30" spans="1:4" x14ac:dyDescent="0.25">
      <c r="A30" s="14" t="s">
        <v>79</v>
      </c>
      <c r="B30" s="13">
        <f>CgtCost+SdltCost</f>
      </c>
      <c r="D30" s="12"/>
    </row>
    <row r="31" spans="1:5" x14ac:dyDescent="0.25">
      <c r="A31" s="1"/>
      <c r="D31" s="15" t="s">
        <v>80</v>
      </c>
      <c r="E31" s="15"/>
    </row>
    <row r="32" spans="1:5" x14ac:dyDescent="0.25">
      <c r="A32" s="1"/>
      <c r="D32" s="12" t="s">
        <v>81</v>
      </c>
      <c r="E32" s="13">
        <f>PersonalTax-CompanyTax</f>
      </c>
    </row>
    <row r="33" spans="1:5" x14ac:dyDescent="0.25">
      <c r="A33" s="1"/>
      <c r="D33" s="14" t="s">
        <v>82</v>
      </c>
      <c r="E33" s="16">
        <f>IF(AnnualSaving&gt;0,UpfrontCost/AnnualSaving,"Never")</f>
      </c>
    </row>
    <row r="34" spans="1:5" x14ac:dyDescent="0.25">
      <c r="A34" s="1"/>
      <c r="D34" s="12" t="s">
        <v>83</v>
      </c>
      <c r="E34">
        <f>IF(AnnualSaving&gt;0,"Saves tax each year","No saving")</f>
      </c>
    </row>
    <row r="36" spans="1:4" x14ac:dyDescent="0.25">
      <c r="A36" s="2" t="s">
        <v>84</v>
      </c>
      <c r="B36" s="2"/>
      <c r="D36" s="1"/>
    </row>
    <row r="37" spans="1:4" x14ac:dyDescent="0.25">
      <c r="A37" s="12" t="s">
        <v>85</v>
      </c>
      <c r="B37" s="13">
        <f>MAX(0,CoProfit-CoTax)</f>
      </c>
      <c r="D37" s="1"/>
    </row>
    <row r="38" spans="1:4" x14ac:dyDescent="0.25">
      <c r="A38" s="12" t="s">
        <v>86</v>
      </c>
      <c r="B38" s="13">
        <f>MAX(0,PersonalAllowance-MAX(0,In_OtherIncome))</f>
      </c>
      <c r="D38" s="1"/>
    </row>
    <row r="39" spans="1:4" x14ac:dyDescent="0.25">
      <c r="A39" s="12" t="s">
        <v>87</v>
      </c>
      <c r="B39" s="13">
        <f>MAX(0,In_OtherIncome-PersonalAllowance)</f>
      </c>
      <c r="D39" s="1"/>
    </row>
    <row r="40" spans="1:4" x14ac:dyDescent="0.25">
      <c r="A40" s="12" t="s">
        <v>88</v>
      </c>
      <c r="B40" s="13">
        <f>MAX(0,DivDrawn-UnusedPA)</f>
      </c>
      <c r="D40" s="1"/>
    </row>
    <row r="41" spans="1:4" x14ac:dyDescent="0.25">
      <c r="A41" s="12" t="s">
        <v>89</v>
      </c>
      <c r="B41" s="13">
        <f>MIN(DivAfterPA,DividendAllowance)</f>
      </c>
      <c r="D41" s="1"/>
    </row>
    <row r="42" spans="1:4" x14ac:dyDescent="0.25">
      <c r="A42" s="12" t="s">
        <v>90</v>
      </c>
      <c r="B42" s="13">
        <f>MAX(0,DivAfterPA-DividendAllowance)</f>
      </c>
      <c r="D42" s="1"/>
    </row>
    <row r="43" spans="1:4" x14ac:dyDescent="0.25">
      <c r="A43" s="12" t="s">
        <v>91</v>
      </c>
      <c r="B43" s="13">
        <f>MAX(0,MIN(TaxableDiv,(BasicRateTop-PersonalAllowance)-(OtherTaxable+AllowanceUsed)))</f>
      </c>
      <c r="D43" s="1"/>
    </row>
    <row r="44" spans="1:4" x14ac:dyDescent="0.25">
      <c r="A44" s="12" t="s">
        <v>92</v>
      </c>
      <c r="B44" s="13">
        <f>MAX(0,MIN(TaxableDiv-DivAtBasic,(HigherRateTop-PersonalAllowance)-MAX(OtherTaxable+AllowanceUsed,BasicRateTop-PersonalAllowance)))</f>
      </c>
      <c r="D44" s="1"/>
    </row>
    <row r="45" spans="1:4" x14ac:dyDescent="0.25">
      <c r="A45" s="12" t="s">
        <v>93</v>
      </c>
      <c r="B45" s="13">
        <f>MAX(0,TaxableDiv-DivAtBasic-DivAtHigher)</f>
      </c>
      <c r="D45" s="1"/>
    </row>
    <row r="46" spans="1:4" x14ac:dyDescent="0.25">
      <c r="A46" s="14" t="s">
        <v>94</v>
      </c>
      <c r="B46" s="13">
        <f>DivAtBasic*Div_Basic+DivAtHigher*Div_Higher+DivAtAdditional*Div_Additional</f>
      </c>
      <c r="D46" s="1"/>
    </row>
  </sheetData>
  <mergeCells count="5">
    <mergeCell ref="A1:B1"/>
    <mergeCell ref="A21:B21"/>
    <mergeCell ref="D21:E21"/>
    <mergeCell ref="D31:E31"/>
    <mergeCell ref="A36:B36"/>
  </mergeCells>
  <dataValidations count="4">
    <dataValidation type="list" sqref="B10">
      <formula1>"Basic rate (20%),Higher rate (40%),Additional rate (45%)"</formula1>
    </dataValidation>
    <dataValidation type="list" sqref="B11">
      <formula1>"2026/27 (20% credit),2027/28 (22% credit)"</formula1>
    </dataValidation>
    <dataValidation type="list" sqref="B12">
      <formula1>"No — pay CGT on transfer,Yes — s.162 relief claimed"</formula1>
    </dataValidation>
    <dataValidation type="list" sqref="B13">
      <formula1>"Draw it all out as dividends,Retain and reinvest in the company"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5"/>
  <sheetFormatPr defaultRowHeight="15" outlineLevelRow="0" outlineLevelCol="0" x14ac:dyDescent="55"/>
  <cols>
    <col min="1" max="1" width="96" customWidth="1"/>
  </cols>
  <sheetData>
    <row r="1" spans="1:1" x14ac:dyDescent="0.25">
      <c r="A1" s="17" t="s">
        <v>95</v>
      </c>
    </row>
    <row r="2" spans="1:1" x14ac:dyDescent="0.25">
      <c r="A2" t="s">
        <v>96</v>
      </c>
    </row>
    <row r="3" spans="1:1" x14ac:dyDescent="0.25">
      <c r="A3" t="s">
        <v>97</v>
      </c>
    </row>
    <row r="4" spans="1:1" x14ac:dyDescent="0.25">
      <c r="A4" t="s">
        <v>98</v>
      </c>
    </row>
    <row r="5" spans="1:1" x14ac:dyDescent="0.25">
      <c r="A5" t="s">
        <v>99</v>
      </c>
    </row>
    <row r="6" spans="1:1" x14ac:dyDescent="0.25">
      <c r="A6" t="s">
        <v>100</v>
      </c>
    </row>
    <row r="7" spans="1:1" x14ac:dyDescent="0.25">
      <c r="A7" t="s">
        <v>96</v>
      </c>
    </row>
    <row r="8" spans="1:1" x14ac:dyDescent="0.25">
      <c r="A8" s="18" t="s">
        <v>101</v>
      </c>
    </row>
    <row r="9" spans="1:1" x14ac:dyDescent="0.25">
      <c r="A9" t="s">
        <v>102</v>
      </c>
    </row>
    <row r="10" spans="1:1" x14ac:dyDescent="0.25">
      <c r="A10" t="s">
        <v>103</v>
      </c>
    </row>
    <row r="11" spans="1:1" x14ac:dyDescent="0.25">
      <c r="A11" t="s">
        <v>104</v>
      </c>
    </row>
    <row r="12" spans="1:1" x14ac:dyDescent="0.25">
      <c r="A12" t="s">
        <v>105</v>
      </c>
    </row>
    <row r="13" spans="1:1" x14ac:dyDescent="0.25">
      <c r="A13" t="s">
        <v>96</v>
      </c>
    </row>
    <row r="14" spans="1:1" x14ac:dyDescent="0.25">
      <c r="A14" t="s">
        <v>106</v>
      </c>
    </row>
    <row r="15" spans="1:1" x14ac:dyDescent="0.25">
      <c r="A1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FormatPr defaultRowHeight="15" outlineLevelRow="0" outlineLevelCol="0" x14ac:dyDescent="55"/>
  <cols>
    <col min="1" max="1" width="104" customWidth="1"/>
  </cols>
  <sheetData>
    <row r="1" spans="1:1" x14ac:dyDescent="0.25">
      <c r="A1" s="19" t="s">
        <v>108</v>
      </c>
    </row>
    <row r="2" spans="1:1" x14ac:dyDescent="0.25">
      <c r="A2" t="s">
        <v>96</v>
      </c>
    </row>
    <row r="3" spans="1:1" x14ac:dyDescent="0.25">
      <c r="A3" t="s">
        <v>109</v>
      </c>
    </row>
    <row r="4" spans="1:1" x14ac:dyDescent="0.25">
      <c r="A4" t="s">
        <v>110</v>
      </c>
    </row>
    <row r="5" spans="1:1" x14ac:dyDescent="0.25">
      <c r="A5" t="s">
        <v>111</v>
      </c>
    </row>
    <row r="6" spans="1:1" x14ac:dyDescent="0.25">
      <c r="A6" t="s">
        <v>112</v>
      </c>
    </row>
    <row r="7" spans="1:1" x14ac:dyDescent="0.25">
      <c r="A7" t="s">
        <v>96</v>
      </c>
    </row>
    <row r="8" spans="1:1" x14ac:dyDescent="0.25">
      <c r="A8" t="s">
        <v>113</v>
      </c>
    </row>
    <row r="9" spans="1:1" x14ac:dyDescent="0.25">
      <c r="A9" t="s">
        <v>114</v>
      </c>
    </row>
    <row r="10" spans="1:1" x14ac:dyDescent="0.25">
      <c r="A10" t="s">
        <v>115</v>
      </c>
    </row>
    <row r="11" spans="1:1" x14ac:dyDescent="0.25">
      <c r="A11" t="s">
        <v>116</v>
      </c>
    </row>
    <row r="12" spans="1:1" x14ac:dyDescent="0.25">
      <c r="A12" t="s">
        <v>117</v>
      </c>
    </row>
    <row r="13" spans="1:1" x14ac:dyDescent="0.25">
      <c r="A13" t="s">
        <v>96</v>
      </c>
    </row>
    <row r="14" spans="1:1" x14ac:dyDescent="0.25">
      <c r="A14" t="s">
        <v>118</v>
      </c>
    </row>
    <row r="15" spans="1:1" x14ac:dyDescent="0.25">
      <c r="A15" t="s">
        <v>119</v>
      </c>
    </row>
    <row r="16" spans="1:1" x14ac:dyDescent="0.25">
      <c r="A16" t="s">
        <v>120</v>
      </c>
    </row>
    <row r="17" spans="1:1" x14ac:dyDescent="0.25">
      <c r="A17" t="s">
        <v>121</v>
      </c>
    </row>
    <row r="18" spans="1:1" x14ac:dyDescent="0.25">
      <c r="A18" t="s">
        <v>96</v>
      </c>
    </row>
    <row r="19" spans="1:1" x14ac:dyDescent="0.25">
      <c r="A19" t="s">
        <v>122</v>
      </c>
    </row>
    <row r="20" spans="1:1" x14ac:dyDescent="0.25">
      <c r="A20" t="s">
        <v>123</v>
      </c>
    </row>
    <row r="21" spans="1:1" x14ac:dyDescent="0.25">
      <c r="A21" t="s">
        <v>124</v>
      </c>
    </row>
    <row r="22" spans="1:1" x14ac:dyDescent="0.25">
      <c r="A22" t="s">
        <v>125</v>
      </c>
    </row>
    <row r="23" spans="1:1" x14ac:dyDescent="0.25">
      <c r="A23" t="s">
        <v>126</v>
      </c>
    </row>
    <row r="24" spans="1:1" x14ac:dyDescent="0.25">
      <c r="A24" t="s">
        <v>96</v>
      </c>
    </row>
    <row r="25" spans="1:1" x14ac:dyDescent="0.25">
      <c r="A25" t="s">
        <v>127</v>
      </c>
    </row>
    <row r="26" spans="1:1" x14ac:dyDescent="0.25">
      <c r="A26" t="s">
        <v>128</v>
      </c>
    </row>
    <row r="27" spans="1:1" x14ac:dyDescent="0.25">
      <c r="A27" t="s">
        <v>129</v>
      </c>
    </row>
    <row r="28" spans="1:1" x14ac:dyDescent="0.25">
      <c r="A28" t="s">
        <v>96</v>
      </c>
    </row>
    <row r="29" spans="1:1" x14ac:dyDescent="0.25">
      <c r="A29" t="s">
        <v>130</v>
      </c>
    </row>
    <row r="30" spans="1:1" x14ac:dyDescent="0.25">
      <c r="A30" t="s">
        <v>131</v>
      </c>
    </row>
    <row r="31" spans="1:1" x14ac:dyDescent="0.25">
      <c r="A3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Rates</vt:lpstr>
      <vt:lpstr>Lookups</vt:lpstr>
      <vt:lpstr>Your figures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Tax Partners</dc:creator>
  <dc:title/>
  <dc:subject/>
  <dc:description/>
  <cp:keywords/>
  <cp:category/>
  <cp:lastModifiedBy>Property Tax Partners</cp:lastModifiedBy>
  <dcterms:created xsi:type="dcterms:W3CDTF">2024-01-01T00:00:00Z</dcterms:created>
  <dcterms:modified xsi:type="dcterms:W3CDTF">2024-01-01T00:00:00Z</dcterms:modified>
</cp:coreProperties>
</file>