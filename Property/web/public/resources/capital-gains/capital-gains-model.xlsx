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Your figures" state="visible" r:id="rId5"/>
    <sheet sheetId="3" name="Start here" state="visible" r:id="rId6"/>
    <sheet sheetId="4" name="Notes" state="visible" r:id="rId7"/>
  </sheets>
  <definedNames>
    <definedName name="CGT_Basic">Rates!$B$2</definedName>
    <definedName name="CGT_Higher">Rates!$B$3</definedName>
    <definedName name="AEA">Rates!$B$4</definedName>
    <definedName name="PersonalAllowance">Rates!$B$5</definedName>
    <definedName name="BasicRateBand">Rates!$B$6</definedName>
    <definedName name="PRR_Final">Rates!$B$7</definedName>
    <definedName name="In_Sale">'Your figures'!$B$3</definedName>
    <definedName name="In_Purchase">'Your figures'!$B$4</definedName>
    <definedName name="In_Costs">'Your figures'!$B$5</definedName>
    <definedName name="In_Improve">'Your figures'!$B$6</definedName>
    <definedName name="In_Income">'Your figures'!$B$7</definedName>
    <definedName name="In_AeaUsed">'Your figures'!$B$8</definedName>
    <definedName name="In_WasHome">'Your figures'!$B$9</definedName>
    <definedName name="In_TotalMonths">'Your figures'!$B$10</definedName>
    <definedName name="In_HomeMonths">'Your figures'!$B$11</definedName>
    <definedName name="TotalCosts">'Your figures'!$B$14</definedName>
    <definedName name="GrossGain">'Your figures'!$B$15</definedName>
    <definedName name="PrrMonths">'Your figures'!$B$16</definedName>
    <definedName name="PRR">'Your figures'!$B$17</definedName>
    <definedName name="GainAfterPrr">'Your figures'!$B$18</definedName>
    <definedName name="AeaUsed">'Your figures'!$B$19</definedName>
    <definedName name="TaxableGain">'Your figures'!$B$20</definedName>
    <definedName name="UnusedBand">'Your figures'!$E$14</definedName>
    <definedName name="AtBasic">'Your figures'!$E$15</definedName>
    <definedName name="AtHigher">'Your figures'!$E$16</definedName>
    <definedName name="CGT">'Your figures'!$E$19</definedName>
    <definedName name="HalfTaxable">'Your figures'!$B$24</definedName>
  </definedNames>
  <calcPr calcId="171027"/>
</workbook>
</file>

<file path=xl/sharedStrings.xml><?xml version="1.0" encoding="utf-8"?>
<sst xmlns="http://schemas.openxmlformats.org/spreadsheetml/2006/main" count="84" uniqueCount="75">
  <si>
    <t>Locked rates — do not edit</t>
  </si>
  <si>
    <t>CGT — residential basic rate</t>
  </si>
  <si>
    <t>CGT — residential higher rate</t>
  </si>
  <si>
    <t>Annual exempt amount (£)</t>
  </si>
  <si>
    <t>Personal allowance (£)</t>
  </si>
  <si>
    <t>Basic-rate band (£)</t>
  </si>
  <si>
    <t>PRR final qualifying period (months)</t>
  </si>
  <si>
    <t>Your figures — edit the blue cells</t>
  </si>
  <si>
    <t>Sale price</t>
  </si>
  <si>
    <t>Original purchase price</t>
  </si>
  <si>
    <t>Buying &amp; selling costs</t>
  </si>
  <si>
    <t>Capital improvements</t>
  </si>
  <si>
    <t>Your other taxable income</t>
  </si>
  <si>
    <t>AEA already used? (1 = yes, 0 = no)</t>
  </si>
  <si>
    <t>Was it ever your main home? (1 = yes, 0 = no)</t>
  </si>
  <si>
    <t>Total months owned</t>
  </si>
  <si>
    <t>Months lived in as main home</t>
  </si>
  <si>
    <t>The gain</t>
  </si>
  <si>
    <t>The tax</t>
  </si>
  <si>
    <t>Total allowable costs</t>
  </si>
  <si>
    <t>Unused basic-rate band</t>
  </si>
  <si>
    <t>Gain before relief</t>
  </si>
  <si>
    <t>Gain taxed at 18%</t>
  </si>
  <si>
    <t>PRR qualifying months</t>
  </si>
  <si>
    <t>Gain taxed at 24%</t>
  </si>
  <si>
    <t>Private Residence Relief</t>
  </si>
  <si>
    <t>Tax at 18%</t>
  </si>
  <si>
    <t>Gain after PRR</t>
  </si>
  <si>
    <t>Tax at 24%</t>
  </si>
  <si>
    <t>Less annual exempt amount</t>
  </si>
  <si>
    <t>Capital Gains Tax due</t>
  </si>
  <si>
    <t>Taxable gain</t>
  </si>
  <si>
    <t>Effective rate (% of gain)</t>
  </si>
  <si>
    <t>Net cash after CGT</t>
  </si>
  <si>
    <t>60-day report-and-pay needed?</t>
  </si>
  <si>
    <t>If owned 50/50 with a spouse / civil partner</t>
  </si>
  <si>
    <t>Each owner's taxable gain (half)</t>
  </si>
  <si>
    <t>Household CGT if held 50/50</t>
  </si>
  <si>
    <t>Potential CGT saved vs sole ownership</t>
  </si>
  <si>
    <t>(Indicative: assumes an equal split and equal bands; a real transfer + Form 17 are needed.)</t>
  </si>
  <si>
    <t>Capital Gains Tax on residential property</t>
  </si>
  <si>
    <t/>
  </si>
  <si>
    <t>This spreadsheet works out the Capital Gains Tax on selling a buy-to-let or second property:</t>
  </si>
  <si>
    <t>the gain after your purchase price, buying/selling costs and capital improvements, any Private</t>
  </si>
  <si>
    <t>Residence Relief if it was once your main home, the £3,000 annual exempt amount, and the 18%/24%</t>
  </si>
  <si>
    <t>split across your unused basic-rate band. It also shows the household bill if the property were</t>
  </si>
  <si>
    <t>held 50/50 with a spouse or civil partner.</t>
  </si>
  <si>
    <t>How to use it:</t>
  </si>
  <si>
    <t>1. Go to the 'Your figures' tab.</t>
  </si>
  <si>
    <t>2. Edit only the blue cells: prices, costs, improvements, your income, and (if it was once your</t>
  </si>
  <si>
    <t xml:space="preserve">   home) the months owned and lived in. Use 1 for yes and 0 for no on the two flags.</t>
  </si>
  <si>
    <t>3. Everything else updates automatically.</t>
  </si>
  <si>
    <t>The 'Rates' tab holds the locked tax rates and is the same source the website calculator uses.</t>
  </si>
  <si>
    <t>Read the 'Notes' tab for the assumptions and what this model does NOT cover.</t>
  </si>
  <si>
    <t>Assumptions and limitations</t>
  </si>
  <si>
    <t>• The gain is sale proceeds less the original purchase price, less buying and selling costs (legal</t>
  </si>
  <si>
    <t xml:space="preserve">  and agent fees, the SDLT you paid) and the cost of capital improvements. Ordinary repairs and</t>
  </si>
  <si>
    <t xml:space="preserve">  maintenance are NOT deductible against the gain (they are revenue costs against rental income).</t>
  </si>
  <si>
    <t>• Annual exempt amount: £3,000 per individual for 2026/27. Residential gains above it are taxed at</t>
  </si>
  <si>
    <t xml:space="preserve">  18% within your unused basic-rate band and 24% above it; your other income sets the split.</t>
  </si>
  <si>
    <t>• Private Residence Relief is apportioned straight-line: gain × (qualifying months ÷ total months</t>
  </si>
  <si>
    <t xml:space="preserve">  owned). Qualifying months = months you actually lived there as your only/main home PLUS the final</t>
  </si>
  <si>
    <t xml:space="preserve">  9 months of ownership, capped at total ownership. This applies only if the property was at some</t>
  </si>
  <si>
    <t xml:space="preserve">  point your main residence.</t>
  </si>
  <si>
    <t>• Letting Relief is NOT included: since 6 April 2020 it is only available where you shared the home</t>
  </si>
  <si>
    <t xml:space="preserve">  with your tenant. Other deemed-occupation periods (job-related, working abroad) are also not</t>
  </si>
  <si>
    <t xml:space="preserve">  modelled. Both can change the answer and should be checked for your facts.</t>
  </si>
  <si>
    <t>• The 50/50 figure is indicative. It assumes an equal beneficial split and an equal band for each</t>
  </si>
  <si>
    <t xml:space="preserve">  owner. In reality a spouse's own income sets their band, and you need a genuine transfer before</t>
  </si>
  <si>
    <t xml:space="preserve">  exchange (no-gain/no-loss under s.58 TCGA 1992), a declaration of trust, and a Form 17 election</t>
  </si>
  <si>
    <t xml:space="preserve">  to depart from the default 50/50 split on jointly held property.</t>
  </si>
  <si>
    <t>• Where CGT is due, UK residents must report and pay it within 60 days of completion through HMRC's</t>
  </si>
  <si>
    <t xml:space="preserve">  CGT on UK property service — separate from, and earlier than, the Self Assessment return.</t>
  </si>
  <si>
    <t>• Figures are rounded and use 2026/27 rates. This is general guidance, not advice for your specific</t>
  </si>
  <si>
    <t xml:space="preserve">  situation. Speak to a property tax specialist before acting.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</si>
</sst>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£#,##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F172A"/>
    </font>
    <font>
      <i/>
      <color rgb="FF64748B"/>
      <sz val="10"/>
    </font>
    <font>
      <b/>
      <color rgb="FF0F172A"/>
      <sz val="16"/>
    </font>
    <font>
      <b/>
      <color rgb="FF0F172A"/>
      <sz val="12"/>
    </font>
    <font>
      <b/>
      <color rgb="FF0F172A"/>
      <sz val="14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9" fontId="0" fillId="0" borderId="0" xfId="0" applyNumberFormat="1"/>
    <xf numFmtId="3" fontId="0" fillId="0" borderId="0" xfId="0" applyNumberFormat="1"/>
    <xf numFmtId="164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3" fontId="0" fillId="3" borderId="0" xfId="0" applyNumberFormat="1" applyFill="1" applyProtection="1">
      <protection locked="0"/>
    </xf>
    <xf numFmtId="0" fontId="0" fillId="4" borderId="0" xfId="0" applyFill="1" applyAlignment="1">
      <alignment wrapText="1"/>
    </xf>
    <xf numFmtId="164" fontId="0" fillId="0" borderId="0" xfId="0" applyNumberFormat="1"/>
    <xf numFmtId="0" fontId="2" fillId="4" borderId="0" xfId="0" applyFont="1" applyFill="1" applyAlignment="1">
      <alignment wrapText="1"/>
    </xf>
    <xf numFmtId="165" fontId="0" fillId="0" borderId="0" xfId="0" applyNumberFormat="1"/>
    <xf numFmtId="0" fontId="3" fillId="0" borderId="0" xfId="0" applyFont="1" applyAlignment="1">
      <alignment wrapText="1"/>
    </xf>
    <xf numFmtId="0" fontId="4" fillId="5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7"/>
  <sheetFormatPr defaultRowHeight="15" outlineLevelRow="0" outlineLevelCol="0" x14ac:dyDescent="55"/>
  <cols>
    <col min="1" max="1" width="50" style="1" customWidth="1"/>
    <col min="2" max="2" width="16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0.18</v>
      </c>
    </row>
    <row r="3" spans="1:2" x14ac:dyDescent="0.25">
      <c r="A3" s="3" t="s">
        <v>2</v>
      </c>
      <c r="B3" s="4">
        <v>0.24</v>
      </c>
    </row>
    <row r="4" spans="1:2" x14ac:dyDescent="0.25">
      <c r="A4" s="3" t="s">
        <v>3</v>
      </c>
      <c r="B4" s="5">
        <v>3000</v>
      </c>
    </row>
    <row r="5" spans="1:2" x14ac:dyDescent="0.25">
      <c r="A5" s="3" t="s">
        <v>4</v>
      </c>
      <c r="B5" s="5">
        <v>12570</v>
      </c>
    </row>
    <row r="6" spans="1:2" x14ac:dyDescent="0.25">
      <c r="A6" s="3" t="s">
        <v>5</v>
      </c>
      <c r="B6" s="5">
        <v>37700</v>
      </c>
    </row>
    <row r="7" spans="1:2" x14ac:dyDescent="0.25">
      <c r="A7" s="3" t="s">
        <v>6</v>
      </c>
      <c r="B7" s="5">
        <v>9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E27"/>
  <sheetFormatPr defaultRowHeight="15" outlineLevelRow="0" outlineLevelCol="0" x14ac:dyDescent="55"/>
  <cols>
    <col min="1" max="1" width="48" style="1" customWidth="1"/>
    <col min="2" max="2" width="18" customWidth="1"/>
    <col min="3" max="3" width="4" customWidth="1"/>
    <col min="4" max="4" width="48" style="1" customWidth="1"/>
    <col min="5" max="5" width="18" customWidth="1"/>
  </cols>
  <sheetData>
    <row r="1" spans="1:4" x14ac:dyDescent="0.25">
      <c r="A1" s="2" t="s">
        <v>7</v>
      </c>
      <c r="B1" s="2"/>
      <c r="D1" s="1"/>
    </row>
    <row r="3" spans="1:4" x14ac:dyDescent="0.25">
      <c r="A3" s="3" t="s">
        <v>8</v>
      </c>
      <c r="B3" s="6">
        <v>320000</v>
      </c>
      <c r="D3" s="1"/>
    </row>
    <row r="4" spans="1:4" x14ac:dyDescent="0.25">
      <c r="A4" s="3" t="s">
        <v>9</v>
      </c>
      <c r="B4" s="6">
        <v>200000</v>
      </c>
      <c r="D4" s="1"/>
    </row>
    <row r="5" spans="1:4" x14ac:dyDescent="0.25">
      <c r="A5" s="3" t="s">
        <v>10</v>
      </c>
      <c r="B5" s="6">
        <v>9000</v>
      </c>
      <c r="D5" s="1"/>
    </row>
    <row r="6" spans="1:4" x14ac:dyDescent="0.25">
      <c r="A6" s="3" t="s">
        <v>11</v>
      </c>
      <c r="B6" s="6">
        <v>8000</v>
      </c>
      <c r="D6" s="1"/>
    </row>
    <row r="7" spans="1:4" x14ac:dyDescent="0.25">
      <c r="A7" s="3" t="s">
        <v>12</v>
      </c>
      <c r="B7" s="6">
        <v>50000</v>
      </c>
      <c r="D7" s="1"/>
    </row>
    <row r="8" spans="1:4" x14ac:dyDescent="0.25">
      <c r="A8" s="3" t="s">
        <v>13</v>
      </c>
      <c r="B8" s="7">
        <v>0</v>
      </c>
      <c r="D8" s="1"/>
    </row>
    <row r="9" spans="1:4" x14ac:dyDescent="0.25">
      <c r="A9" s="3" t="s">
        <v>14</v>
      </c>
      <c r="B9" s="7">
        <v>0</v>
      </c>
      <c r="D9" s="1"/>
    </row>
    <row r="10" spans="1:4" x14ac:dyDescent="0.25">
      <c r="A10" s="3" t="s">
        <v>15</v>
      </c>
      <c r="B10" s="8">
        <v>180</v>
      </c>
      <c r="D10" s="1"/>
    </row>
    <row r="11" spans="1:4" x14ac:dyDescent="0.25">
      <c r="A11" s="3" t="s">
        <v>16</v>
      </c>
      <c r="B11" s="8">
        <v>60</v>
      </c>
      <c r="D11" s="1"/>
    </row>
    <row r="13" spans="1:5" x14ac:dyDescent="0.25">
      <c r="A13" s="2" t="s">
        <v>17</v>
      </c>
      <c r="B13" s="2"/>
      <c r="D13" s="2" t="s">
        <v>18</v>
      </c>
      <c r="E13" s="2"/>
    </row>
    <row r="14" spans="1:5" x14ac:dyDescent="0.25">
      <c r="A14" s="9" t="s">
        <v>19</v>
      </c>
      <c r="B14" s="10">
        <f>In_Purchase+In_Costs+In_Improve</f>
      </c>
      <c r="D14" s="9" t="s">
        <v>20</v>
      </c>
      <c r="E14" s="10">
        <f>MAX(0,BasicRateBand-MAX(0,In_Income-PersonalAllowance))</f>
      </c>
    </row>
    <row r="15" spans="1:5" x14ac:dyDescent="0.25">
      <c r="A15" s="9" t="s">
        <v>21</v>
      </c>
      <c r="B15" s="10">
        <f>MAX(0,In_Sale-TotalCosts)</f>
      </c>
      <c r="D15" s="9" t="s">
        <v>22</v>
      </c>
      <c r="E15" s="10">
        <f>MIN(TaxableGain,UnusedBand)</f>
      </c>
    </row>
    <row r="16" spans="1:5" x14ac:dyDescent="0.25">
      <c r="A16" s="9" t="s">
        <v>23</v>
      </c>
      <c r="B16" s="5">
        <f>IF(In_WasHome=1,MIN(In_TotalMonths,MIN(In_HomeMonths,In_TotalMonths)+MIN(PRR_Final,MAX(0,In_TotalMonths-MIN(In_HomeMonths,In_TotalMonths)))),0)</f>
      </c>
      <c r="D16" s="9" t="s">
        <v>24</v>
      </c>
      <c r="E16" s="10">
        <f>TaxableGain-AtBasic</f>
      </c>
    </row>
    <row r="17" spans="1:5" x14ac:dyDescent="0.25">
      <c r="A17" s="9" t="s">
        <v>25</v>
      </c>
      <c r="B17" s="10">
        <f>IF(AND(In_WasHome=1,In_TotalMonths&gt;0),GrossGain*PrrMonths/In_TotalMonths,0)</f>
      </c>
      <c r="D17" s="9" t="s">
        <v>26</v>
      </c>
      <c r="E17" s="10">
        <f>AtBasic*CGT_Basic</f>
      </c>
    </row>
    <row r="18" spans="1:5" x14ac:dyDescent="0.25">
      <c r="A18" s="9" t="s">
        <v>27</v>
      </c>
      <c r="B18" s="10">
        <f>MAX(0,GrossGain-PRR)</f>
      </c>
      <c r="D18" s="9" t="s">
        <v>28</v>
      </c>
      <c r="E18" s="10">
        <f>AtHigher*CGT_Higher</f>
      </c>
    </row>
    <row r="19" spans="1:5" x14ac:dyDescent="0.25">
      <c r="A19" s="9" t="s">
        <v>29</v>
      </c>
      <c r="B19" s="10">
        <f>IF(In_AeaUsed=1,0,MIN(GainAfterPrr,AEA))</f>
      </c>
      <c r="D19" s="11" t="s">
        <v>30</v>
      </c>
      <c r="E19" s="10">
        <f>AtBasic*CGT_Basic+AtHigher*CGT_Higher</f>
      </c>
    </row>
    <row r="20" spans="1:5" x14ac:dyDescent="0.25">
      <c r="A20" s="9" t="s">
        <v>31</v>
      </c>
      <c r="B20" s="10">
        <f>MAX(0,GainAfterPrr-AeaUsed)</f>
      </c>
      <c r="D20" s="9" t="s">
        <v>32</v>
      </c>
      <c r="E20" s="12">
        <f>IF(GrossGain&gt;0,CGT/GrossGain,0)</f>
      </c>
    </row>
    <row r="21" spans="1:5" x14ac:dyDescent="0.25">
      <c r="A21" s="9"/>
      <c r="D21" s="11" t="s">
        <v>33</v>
      </c>
      <c r="E21" s="10">
        <f>In_Sale-TotalCosts-CGT</f>
      </c>
    </row>
    <row r="22" spans="1:5" x14ac:dyDescent="0.25">
      <c r="A22" s="9"/>
      <c r="D22" s="9" t="s">
        <v>34</v>
      </c>
      <c r="E22">
        <f>IF(CGT&gt;0,"Yes","No")</f>
      </c>
    </row>
    <row r="23" spans="1:4" x14ac:dyDescent="0.25">
      <c r="A23" s="2" t="s">
        <v>35</v>
      </c>
      <c r="B23" s="2"/>
      <c r="D23" s="1"/>
    </row>
    <row r="24" spans="1:4" x14ac:dyDescent="0.25">
      <c r="A24" s="1" t="s">
        <v>36</v>
      </c>
      <c r="B24" s="10">
        <f>MAX(0,(GainAfterPrr/2)-IF(In_AeaUsed=1,0,MIN(GainAfterPrr/2,AEA)))</f>
      </c>
      <c r="D24" s="1"/>
    </row>
    <row r="25" spans="1:4" x14ac:dyDescent="0.25">
      <c r="A25" s="1" t="s">
        <v>37</v>
      </c>
      <c r="B25" s="10">
        <f>(MIN(HalfTaxable,UnusedBand)*CGT_Basic+MAX(0,HalfTaxable-UnusedBand)*CGT_Higher)*2</f>
      </c>
      <c r="D25" s="1"/>
    </row>
    <row r="26" spans="1:4" x14ac:dyDescent="0.25">
      <c r="A26" s="1" t="s">
        <v>38</v>
      </c>
      <c r="B26" s="10">
        <f>MAX(0,CGT-B25)</f>
      </c>
      <c r="D26" s="1"/>
    </row>
    <row r="27" spans="1:4" x14ac:dyDescent="0.25">
      <c r="A27" s="13" t="s">
        <v>39</v>
      </c>
      <c r="D27" s="1"/>
    </row>
  </sheetData>
  <mergeCells count="4">
    <mergeCell ref="A1:B1"/>
    <mergeCell ref="A13:B13"/>
    <mergeCell ref="D13:E13"/>
    <mergeCell ref="A23:B23"/>
  </mergeCells>
  <dataValidations count="1">
    <dataValidation type="list" sqref="B8:B9">
      <formula1>"0,1"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6"/>
  <sheetFormatPr defaultRowHeight="15" outlineLevelRow="0" outlineLevelCol="0" x14ac:dyDescent="55"/>
  <cols>
    <col min="1" max="1" width="95" customWidth="1"/>
  </cols>
  <sheetData>
    <row r="1" spans="1:1" x14ac:dyDescent="0.25">
      <c r="A1" s="14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41</v>
      </c>
    </row>
    <row r="9" spans="1:1" x14ac:dyDescent="0.25">
      <c r="A9" s="15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41</v>
      </c>
    </row>
    <row r="15" spans="1:1" x14ac:dyDescent="0.25">
      <c r="A15" t="s">
        <v>52</v>
      </c>
    </row>
    <row r="16" spans="1:1" x14ac:dyDescent="0.25">
      <c r="A1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00" customWidth="1"/>
  </cols>
  <sheetData>
    <row r="1" spans="1:1" x14ac:dyDescent="0.25">
      <c r="A1" s="16" t="s">
        <v>54</v>
      </c>
    </row>
    <row r="2" spans="1:1" x14ac:dyDescent="0.25">
      <c r="A2" t="s">
        <v>41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41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41</v>
      </c>
    </row>
    <row r="10" spans="1:1" x14ac:dyDescent="0.25">
      <c r="A10" t="s">
        <v>60</v>
      </c>
    </row>
    <row r="11" spans="1:1" x14ac:dyDescent="0.25">
      <c r="A11" t="s">
        <v>61</v>
      </c>
    </row>
    <row r="12" spans="1:1" x14ac:dyDescent="0.25">
      <c r="A12" t="s">
        <v>62</v>
      </c>
    </row>
    <row r="13" spans="1:1" x14ac:dyDescent="0.25">
      <c r="A13" t="s">
        <v>63</v>
      </c>
    </row>
    <row r="14" spans="1:1" x14ac:dyDescent="0.25">
      <c r="A14" t="s">
        <v>41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41</v>
      </c>
    </row>
    <row r="19" spans="1:1" x14ac:dyDescent="0.25">
      <c r="A19" t="s">
        <v>67</v>
      </c>
    </row>
    <row r="20" spans="1:1" x14ac:dyDescent="0.25">
      <c r="A20" t="s">
        <v>68</v>
      </c>
    </row>
    <row r="21" spans="1:1" x14ac:dyDescent="0.25">
      <c r="A21" t="s">
        <v>69</v>
      </c>
    </row>
    <row r="22" spans="1:1" x14ac:dyDescent="0.25">
      <c r="A22" t="s">
        <v>70</v>
      </c>
    </row>
    <row r="23" spans="1:1" x14ac:dyDescent="0.25">
      <c r="A23" t="s">
        <v>41</v>
      </c>
    </row>
    <row r="24" spans="1:1" x14ac:dyDescent="0.25">
      <c r="A24" t="s">
        <v>71</v>
      </c>
    </row>
    <row r="25" spans="1:1" x14ac:dyDescent="0.25">
      <c r="A25" t="s">
        <v>72</v>
      </c>
    </row>
    <row r="26" spans="1:1" x14ac:dyDescent="0.25">
      <c r="A26" t="s">
        <v>41</v>
      </c>
    </row>
    <row r="27" spans="1:1" x14ac:dyDescent="0.25">
      <c r="A27" t="s">
        <v>73</v>
      </c>
    </row>
    <row r="28" spans="1:1" x14ac:dyDescent="0.25">
      <c r="A28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Your figures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Tax Partners</dc:creator>
  <dc:title/>
  <dc:subject/>
  <dc:description/>
  <cp:keywords/>
  <cp:category/>
  <cp:lastModifiedBy>Property Tax Partners</cp:lastModifiedBy>
  <dcterms:created xsi:type="dcterms:W3CDTF">2024-01-01T00:00:00Z</dcterms:created>
  <dcterms:modified xsi:type="dcterms:W3CDTF">2024-01-01T00:00:00Z</dcterms:modified>
</cp:coreProperties>
</file>