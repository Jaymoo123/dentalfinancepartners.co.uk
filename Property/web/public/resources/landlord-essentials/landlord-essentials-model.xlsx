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Lookups" state="veryHidden" r:id="rId5"/>
    <sheet sheetId="3" name="Your figures" state="visible" r:id="rId6"/>
    <sheet sheetId="4" name="Start here" state="visible" r:id="rId7"/>
    <sheet sheetId="5" name="Notes" state="visible" r:id="rId8"/>
  </sheets>
  <definedNames>
    <definedName name="Basic_2026">Rates!$B$2</definedName>
    <definedName name="Higher_2026">Rates!$B$3</definedName>
    <definedName name="Additional_2026">Rates!$B$4</definedName>
    <definedName name="Basic_2027">Rates!$B$5</definedName>
    <definedName name="Higher_2027">Rates!$B$6</definedName>
    <definedName name="Additional_2027">Rates!$B$7</definedName>
    <definedName name="Reducer_2026">Rates!$B$8</definedName>
    <definedName name="Reducer_2027">Rates!$B$9</definedName>
    <definedName name="PA_Full">Rates!$B$10</definedName>
    <definedName name="PA_TaperStart">Rates!$B$11</definedName>
    <definedName name="PA_TaperEnd">Rates!$B$12</definedName>
    <definedName name="BasicLimit">Rates!$B$13</definedName>
    <definedName name="AddlThreshold">Rates!$B$14</definedName>
    <definedName name="PropAllowance">Rates!$B$15</definedName>
    <definedName name="In_Other">'Your figures'!$B$3</definedName>
    <definedName name="In_Year">'Your figures'!$B$4</definedName>
    <definedName name="BasicRate">'Your figures'!$B$6</definedName>
    <definedName name="HigherRate">'Your figures'!$D$6</definedName>
    <definedName name="AddlRate">'Your figures'!$B$7</definedName>
    <definedName name="ReducerRate">'Your figures'!$D$7</definedName>
    <definedName name="TotRent">'Your figures'!$B$16</definedName>
    <definedName name="TotExpenses">'Your figures'!$C$16</definedName>
    <definedName name="TotInterest">'Your figures'!$D$16</definedName>
    <definedName name="TotProfit">'Your figures'!$E$16</definedName>
    <definedName name="IncWith">'Your figures'!$B$19</definedName>
    <definedName name="PA_With">'Your figures'!$B$20</definedName>
    <definedName name="PA_Other">'Your figures'!$B$21</definedName>
    <definedName name="TaxWith">'Your figures'!$B$22</definedName>
    <definedName name="TaxOther">'Your figures'!$B$23</definedName>
    <definedName name="TaxBeforeCredit">'Your figures'!$B$24</definedName>
    <definedName name="FinanceCredit">'Your figures'!$B$25</definedName>
    <definedName name="IncomeTax">'Your figures'!$B$26</definedName>
    <definedName name="NetCash">'Your figures'!$B$27</definedName>
  </definedNames>
  <calcPr calcId="171027"/>
</workbook>
</file>

<file path=xl/sharedStrings.xml><?xml version="1.0" encoding="utf-8"?>
<sst xmlns="http://schemas.openxmlformats.org/spreadsheetml/2006/main" count="96" uniqueCount="82">
  <si>
    <t>Locked rates — do not edit</t>
  </si>
  <si>
    <t>Income tax — basic rate (2026/27)</t>
  </si>
  <si>
    <t>Income tax — higher rate (2026/27)</t>
  </si>
  <si>
    <t>Income tax — additional rate (2026/27)</t>
  </si>
  <si>
    <t>Property income — basic rate (2027/28)</t>
  </si>
  <si>
    <t>Property income — higher rate (2027/28)</t>
  </si>
  <si>
    <t>Property income — additional rate (2027/28)</t>
  </si>
  <si>
    <t>Section 24 finance-cost credit (2026/27)</t>
  </si>
  <si>
    <t>Section 24 finance-cost credit (2027/28)</t>
  </si>
  <si>
    <t>Personal allowance (£)</t>
  </si>
  <si>
    <t>Personal-allowance taper start (£)</t>
  </si>
  <si>
    <t>Personal allowance fully withdrawn (£)</t>
  </si>
  <si>
    <t>Top of basic-rate band — taxable income (£)</t>
  </si>
  <si>
    <t>Additional-rate threshold — total income (£)</t>
  </si>
  <si>
    <t>Property allowance (£)</t>
  </si>
  <si>
    <t>Year</t>
  </si>
  <si>
    <t>Basic</t>
  </si>
  <si>
    <t>Higher</t>
  </si>
  <si>
    <t>Additional</t>
  </si>
  <si>
    <t>Reducer</t>
  </si>
  <si>
    <t>2026/27 (20/40/45, 20% credit)</t>
  </si>
  <si>
    <t>2027/28 (22/42/47, 22% credit)</t>
  </si>
  <si>
    <t>Your figures — edit the blue cells</t>
  </si>
  <si>
    <t>Your other taxable income (salary, pension)</t>
  </si>
  <si>
    <t>Tax year</t>
  </si>
  <si>
    <t>Basic rate</t>
  </si>
  <si>
    <t>Higher rate</t>
  </si>
  <si>
    <t>Additional rate</t>
  </si>
  <si>
    <t>Section 24 credit rate</t>
  </si>
  <si>
    <t>Property</t>
  </si>
  <si>
    <t>Annual rent</t>
  </si>
  <si>
    <t>Running costs</t>
  </si>
  <si>
    <t>Mortgage interest</t>
  </si>
  <si>
    <t>Taxable profit</t>
  </si>
  <si>
    <t>Property 1</t>
  </si>
  <si>
    <t/>
  </si>
  <si>
    <t>Portfolio totals</t>
  </si>
  <si>
    <t>Income tax on your rental profit</t>
  </si>
  <si>
    <t>Total income incl. rentals</t>
  </si>
  <si>
    <t>Personal allowance after £100k taper</t>
  </si>
  <si>
    <t>Personal allowance on other income alone</t>
  </si>
  <si>
    <t>Tax on income incl. rentals</t>
  </si>
  <si>
    <t>Tax on other income alone</t>
  </si>
  <si>
    <t>Tax on rental profit before credit</t>
  </si>
  <si>
    <t>Section 24 finance-cost credit (capped)</t>
  </si>
  <si>
    <t>Income tax payable on the rentals</t>
  </si>
  <si>
    <t>Net cash kept after tax &amp; interest</t>
  </si>
  <si>
    <t>Effective tax rate on the profit</t>
  </si>
  <si>
    <t>Landlord rental profit &amp; income tax model</t>
  </si>
  <si>
    <t>This spreadsheet works out, for one property or a whole portfolio, your taxable rental profit</t>
  </si>
  <si>
    <t>and the income tax on it — with the £1,000 property allowance, the Section 24 mortgage-interest</t>
  </si>
  <si>
    <t>credit and your tax band all handled automatically.</t>
  </si>
  <si>
    <t>How to use it:</t>
  </si>
  <si>
    <t>1. Go to the 'Your figures' tab.</t>
  </si>
  <si>
    <t>2. Enter your other taxable income (salary, pension) and pick the tax year at the top.</t>
  </si>
  <si>
    <t>3. Fill in one row per property: annual rent, running costs and mortgage interest (blue cells).</t>
  </si>
  <si>
    <t>4. Everything else — taxable profit, tax, the Section 24 credit and your net cash — updates itself.</t>
  </si>
  <si>
    <t>The £1,000 property allowance is applied for you: if a property's rent is £1,000 or less it is</t>
  </si>
  <si>
    <t>covered in full; otherwise the model deducts the greater of your actual costs and £1,000.</t>
  </si>
  <si>
    <t>The 'Rates' tab holds the locked tax figures and is the same source the website calculator uses.</t>
  </si>
  <si>
    <t>Read the 'Notes' tab for the assumptions and what this model does NOT cover.</t>
  </si>
  <si>
    <t>Assumptions and limitations</t>
  </si>
  <si>
    <t>• Rental profit = gross rents less allowable RUNNING costs (repairs, letting/agent fees, insurance,</t>
  </si>
  <si>
    <t xml:space="preserve">  ground rent, accountancy). Capital improvements are NOT deductible against income (they may reduce a</t>
  </si>
  <si>
    <t xml:space="preserve">  future Capital Gains Tax bill). Mortgage interest is NOT deducted from profit — see Section 24 below.</t>
  </si>
  <si>
    <t>• £1,000 property allowance: if a property's gross rent is £1,000 or less, the income is covered in full</t>
  </si>
  <si>
    <t xml:space="preserve">  and need not be declared. Above £1,000 you may deduct the £1,000 allowance INSTEAD of actual expenses</t>
  </si>
  <si>
    <t xml:space="preserve">  where that is better; you cannot use the allowance and also deduct expenses. The model picks the better</t>
  </si>
  <si>
    <t xml:space="preserve">  of the two for each property automatically.</t>
  </si>
  <si>
    <t>• Section 24: individual landlords cannot deduct mortgage interest / finance costs. Instead a basic-rate</t>
  </si>
  <si>
    <t xml:space="preserve">  tax credit is given — 20% for 2026/27, rising to 22% from 2027/28 (Finance Act 2026). The credit is</t>
  </si>
  <si>
    <t xml:space="preserve">  capped at the lower of the credit rate times (a) the finance costs, (b) the rental profit before finance</t>
  </si>
  <si>
    <t xml:space="preserve">  costs, and (c) your income above the personal allowance.</t>
  </si>
  <si>
    <t>• Tax bands: the rental profit is taxed ON TOP of your other income, so it falls into the right band(s),</t>
  </si>
  <si>
    <t xml:space="preserve">  and above £100,000 of total income the personal allowance tapers away (£1 lost per £2, gone at £125,140).</t>
  </si>
  <si>
    <t xml:space="preserve">  For 2026/27 the bands are 20/40/45; from 2027/28 property income in England, Wales and Northern Ireland</t>
  </si>
  <si>
    <t xml:space="preserve">  is taxed at 22/42/47 (Scotland is excluded and sets its own rates).</t>
  </si>
  <si>
    <t>• NOT modelled: National Insurance (rental income is not earnings for NI), student-loan repayments, the</t>
  </si>
  <si>
    <t xml:space="preserve">  High Income Child Benefit Charge, Scottish income tax rates, payments on account, or income through a</t>
  </si>
  <si>
    <t xml:space="preserve">  company. Figures are rounded.</t>
  </si>
  <si>
    <t>• This is general guidance, not advice for your specific situation. Speak to a property tax specialist</t>
  </si>
  <si>
    <t xml:space="preserve">  before you file or restructure.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</si>
</sst>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b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/>
    <xf numFmtId="3" fontId="0" fillId="0" borderId="0" xfId="0" applyNumberFormat="1"/>
    <xf numFmtId="164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0" fontId="1" fillId="2" borderId="0" xfId="0" applyFont="1" applyFill="1" applyAlignment="1">
      <alignment vertical="center"/>
    </xf>
    <xf numFmtId="0" fontId="0" fillId="3" borderId="0" xfId="0" applyFill="1" applyAlignment="1" applyProtection="1">
      <alignment wrapText="1"/>
      <protection locked="0"/>
    </xf>
    <xf numFmtId="164" fontId="0" fillId="4" borderId="0" xfId="0" applyNumberFormat="1" applyFill="1"/>
    <xf numFmtId="164" fontId="0" fillId="0" borderId="0" xfId="0" applyNumberFormat="1"/>
    <xf numFmtId="164" fontId="3" fillId="0" borderId="0" xfId="0" applyNumberFormat="1" applyFont="1"/>
    <xf numFmtId="165" fontId="0" fillId="0" borderId="0" xfId="0" applyNumberFormat="1"/>
    <xf numFmtId="0" fontId="4" fillId="5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15"/>
  <sheetFormatPr defaultRowHeight="15" outlineLevelRow="0" outlineLevelCol="0" x14ac:dyDescent="55"/>
  <cols>
    <col min="1" max="1" width="50" style="1" customWidth="1"/>
    <col min="2" max="2" width="16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0.2</v>
      </c>
    </row>
    <row r="3" spans="1:2" x14ac:dyDescent="0.25">
      <c r="A3" s="3" t="s">
        <v>2</v>
      </c>
      <c r="B3" s="4">
        <v>0.4</v>
      </c>
    </row>
    <row r="4" spans="1:2" x14ac:dyDescent="0.25">
      <c r="A4" s="3" t="s">
        <v>3</v>
      </c>
      <c r="B4" s="4">
        <v>0.45</v>
      </c>
    </row>
    <row r="5" spans="1:2" x14ac:dyDescent="0.25">
      <c r="A5" s="3" t="s">
        <v>4</v>
      </c>
      <c r="B5" s="4">
        <v>0.22</v>
      </c>
    </row>
    <row r="6" spans="1:2" x14ac:dyDescent="0.25">
      <c r="A6" s="3" t="s">
        <v>5</v>
      </c>
      <c r="B6" s="4">
        <v>0.42</v>
      </c>
    </row>
    <row r="7" spans="1:2" x14ac:dyDescent="0.25">
      <c r="A7" s="3" t="s">
        <v>6</v>
      </c>
      <c r="B7" s="4">
        <v>0.47</v>
      </c>
    </row>
    <row r="8" spans="1:2" x14ac:dyDescent="0.25">
      <c r="A8" s="3" t="s">
        <v>7</v>
      </c>
      <c r="B8" s="4">
        <v>0.2</v>
      </c>
    </row>
    <row r="9" spans="1:2" x14ac:dyDescent="0.25">
      <c r="A9" s="3" t="s">
        <v>8</v>
      </c>
      <c r="B9" s="4">
        <v>0.22</v>
      </c>
    </row>
    <row r="10" spans="1:2" x14ac:dyDescent="0.25">
      <c r="A10" s="3" t="s">
        <v>9</v>
      </c>
      <c r="B10" s="5">
        <v>12570</v>
      </c>
    </row>
    <row r="11" spans="1:2" x14ac:dyDescent="0.25">
      <c r="A11" s="3" t="s">
        <v>10</v>
      </c>
      <c r="B11" s="5">
        <v>100000</v>
      </c>
    </row>
    <row r="12" spans="1:2" x14ac:dyDescent="0.25">
      <c r="A12" s="3" t="s">
        <v>11</v>
      </c>
      <c r="B12" s="5">
        <v>125140</v>
      </c>
    </row>
    <row r="13" spans="1:2" x14ac:dyDescent="0.25">
      <c r="A13" s="3" t="s">
        <v>12</v>
      </c>
      <c r="B13" s="5">
        <v>37700</v>
      </c>
    </row>
    <row r="14" spans="1:2" x14ac:dyDescent="0.25">
      <c r="A14" s="3" t="s">
        <v>13</v>
      </c>
      <c r="B14" s="5">
        <v>125140</v>
      </c>
    </row>
    <row r="15" spans="1:2" x14ac:dyDescent="0.25">
      <c r="A15" s="3" t="s">
        <v>14</v>
      </c>
      <c r="B15" s="5">
        <v>1000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 x14ac:dyDescent="0.25">
      <c r="A2" t="s">
        <v>20</v>
      </c>
      <c r="B2">
        <f>Basic_2026</f>
      </c>
      <c r="C2">
        <f>Higher_2026</f>
      </c>
      <c r="D2">
        <f>Additional_2026</f>
      </c>
      <c r="E2">
        <f>Reducer_2026</f>
      </c>
    </row>
    <row r="3" spans="1:5" x14ac:dyDescent="0.25">
      <c r="A3" t="s">
        <v>21</v>
      </c>
      <c r="B3">
        <f>Basic_2027</f>
      </c>
      <c r="C3">
        <f>Higher_2027</f>
      </c>
      <c r="D3">
        <f>Additional_2027</f>
      </c>
      <c r="E3">
        <f>Reducer_2027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E28"/>
  <sheetFormatPr defaultRowHeight="15" outlineLevelRow="0" outlineLevelCol="0" x14ac:dyDescent="55"/>
  <cols>
    <col min="1" max="1" width="30" style="1" customWidth="1"/>
    <col min="2" max="4" width="16" customWidth="1"/>
    <col min="5" max="5" width="18" customWidth="1"/>
  </cols>
  <sheetData>
    <row r="1" spans="1:5" x14ac:dyDescent="0.25">
      <c r="A1" s="2" t="s">
        <v>22</v>
      </c>
      <c r="B1" s="2"/>
      <c r="C1" s="2"/>
      <c r="D1" s="2"/>
      <c r="E1" s="2"/>
    </row>
    <row r="3" spans="1:2" x14ac:dyDescent="0.25">
      <c r="A3" s="3" t="s">
        <v>23</v>
      </c>
      <c r="B3" s="6">
        <v>40000</v>
      </c>
    </row>
    <row r="4" spans="1:4" x14ac:dyDescent="0.25">
      <c r="A4" s="3" t="s">
        <v>24</v>
      </c>
      <c r="B4" s="7" t="s">
        <v>20</v>
      </c>
      <c r="C4" s="7"/>
      <c r="D4" s="7"/>
    </row>
    <row r="6" spans="1:4" x14ac:dyDescent="0.25">
      <c r="A6" s="1" t="s">
        <v>25</v>
      </c>
      <c r="B6" s="4">
        <f>VLOOKUP(In_Year,Lookups!$A$2:$E$3,2,FALSE)</f>
      </c>
      <c r="C6" t="s">
        <v>26</v>
      </c>
      <c r="D6" s="4">
        <f>VLOOKUP(In_Year,Lookups!$A$2:$E$3,3,FALSE)</f>
      </c>
    </row>
    <row r="7" spans="1:4" x14ac:dyDescent="0.25">
      <c r="A7" s="1" t="s">
        <v>27</v>
      </c>
      <c r="B7" s="4">
        <f>VLOOKUP(In_Year,Lookups!$A$2:$E$3,4,FALSE)</f>
      </c>
      <c r="C7" t="s">
        <v>28</v>
      </c>
      <c r="D7" s="4">
        <f>VLOOKUP(In_Year,Lookups!$A$2:$E$3,5,FALSE)</f>
      </c>
    </row>
    <row r="9" spans="1:5" x14ac:dyDescent="0.25">
      <c r="A9" s="2" t="s">
        <v>29</v>
      </c>
      <c r="B9" s="8" t="s">
        <v>30</v>
      </c>
      <c r="C9" s="8" t="s">
        <v>31</v>
      </c>
      <c r="D9" s="8" t="s">
        <v>32</v>
      </c>
      <c r="E9" s="8" t="s">
        <v>33</v>
      </c>
    </row>
    <row r="10" spans="1:5" x14ac:dyDescent="0.25">
      <c r="A10" s="9" t="s">
        <v>34</v>
      </c>
      <c r="B10" s="6">
        <v>18000</v>
      </c>
      <c r="C10" s="6">
        <v>3000</v>
      </c>
      <c r="D10" s="6">
        <v>6000</v>
      </c>
      <c r="E10" s="10">
        <f>IF(B10&lt;=PropAllowance,0,MAX(0,B10-MAX(C10,PropAllowance)))</f>
      </c>
    </row>
    <row r="11" spans="1:5" x14ac:dyDescent="0.25">
      <c r="A11" s="9" t="s">
        <v>35</v>
      </c>
      <c r="B11" s="6">
        <v>0</v>
      </c>
      <c r="C11" s="6">
        <v>0</v>
      </c>
      <c r="D11" s="6">
        <v>0</v>
      </c>
      <c r="E11" s="10">
        <f>IF(B11&lt;=PropAllowance,0,MAX(0,B11-MAX(C11,PropAllowance)))</f>
      </c>
    </row>
    <row r="12" spans="1:5" x14ac:dyDescent="0.25">
      <c r="A12" s="9" t="s">
        <v>35</v>
      </c>
      <c r="B12" s="6">
        <v>0</v>
      </c>
      <c r="C12" s="6">
        <v>0</v>
      </c>
      <c r="D12" s="6">
        <v>0</v>
      </c>
      <c r="E12" s="10">
        <f>IF(B12&lt;=PropAllowance,0,MAX(0,B12-MAX(C12,PropAllowance)))</f>
      </c>
    </row>
    <row r="13" spans="1:5" x14ac:dyDescent="0.25">
      <c r="A13" s="9" t="s">
        <v>35</v>
      </c>
      <c r="B13" s="6">
        <v>0</v>
      </c>
      <c r="C13" s="6">
        <v>0</v>
      </c>
      <c r="D13" s="6">
        <v>0</v>
      </c>
      <c r="E13" s="10">
        <f>IF(B13&lt;=PropAllowance,0,MAX(0,B13-MAX(C13,PropAllowance)))</f>
      </c>
    </row>
    <row r="14" spans="1:5" x14ac:dyDescent="0.25">
      <c r="A14" s="9" t="s">
        <v>35</v>
      </c>
      <c r="B14" s="6">
        <v>0</v>
      </c>
      <c r="C14" s="6">
        <v>0</v>
      </c>
      <c r="D14" s="6">
        <v>0</v>
      </c>
      <c r="E14" s="10">
        <f>IF(B14&lt;=PropAllowance,0,MAX(0,B14-MAX(C14,PropAllowance)))</f>
      </c>
    </row>
    <row r="16" spans="1:5" x14ac:dyDescent="0.25">
      <c r="A16" s="3" t="s">
        <v>36</v>
      </c>
      <c r="B16" s="11">
        <f>SUM(B10:B14)</f>
      </c>
      <c r="C16" s="11">
        <f>SUMPRODUCT((B10:B14-E10:E14))</f>
      </c>
      <c r="D16" s="11">
        <f>SUM(D10:D14)</f>
      </c>
      <c r="E16" s="12">
        <f>SUM(E10:E14)</f>
      </c>
    </row>
    <row r="18" spans="1:5" x14ac:dyDescent="0.25">
      <c r="A18" s="2" t="s">
        <v>37</v>
      </c>
      <c r="B18" s="2"/>
      <c r="C18" s="2"/>
      <c r="D18" s="2"/>
      <c r="E18" s="2"/>
    </row>
    <row r="19" spans="1:2" x14ac:dyDescent="0.25">
      <c r="A19" s="1" t="s">
        <v>38</v>
      </c>
      <c r="B19" s="11">
        <f>In_Other+TotProfit</f>
      </c>
    </row>
    <row r="20" spans="1:2" x14ac:dyDescent="0.25">
      <c r="A20" s="1" t="s">
        <v>39</v>
      </c>
      <c r="B20" s="11">
        <f>IF(IncWith&lt;=PA_TaperStart,PA_Full,IF(IncWith&gt;=PA_TaperEnd,0,MAX(0,PA_Full-ROUNDDOWN((IncWith-PA_TaperStart)/2,0))))</f>
      </c>
    </row>
    <row r="21" spans="1:2" x14ac:dyDescent="0.25">
      <c r="A21" s="1" t="s">
        <v>40</v>
      </c>
      <c r="B21" s="11">
        <f>IF(In_Other&lt;=PA_TaperStart,PA_Full,IF(In_Other&gt;=PA_TaperEnd,0,MAX(0,PA_Full-ROUNDDOWN((In_Other-PA_TaperStart)/2,0))))</f>
      </c>
    </row>
    <row r="22" spans="1:2" x14ac:dyDescent="0.25">
      <c r="A22" s="1" t="s">
        <v>41</v>
      </c>
      <c r="B22" s="11">
        <f>MIN(MAX(0,IncWith-PA_With),BasicLimit)*BasicRate+MIN(MAX(0,MAX(0,IncWith-PA_With)-BasicLimit),MAX(BasicLimit,AddlThreshold-PA_With)-BasicLimit)*HigherRate+MAX(0,MAX(0,IncWith-PA_With)-MAX(BasicLimit,AddlThreshold-PA_With))*AddlRate</f>
      </c>
    </row>
    <row r="23" spans="1:2" x14ac:dyDescent="0.25">
      <c r="A23" s="1" t="s">
        <v>42</v>
      </c>
      <c r="B23" s="11">
        <f>MIN(MAX(0,In_Other-PA_Other),BasicLimit)*BasicRate+MIN(MAX(0,MAX(0,In_Other-PA_Other)-BasicLimit),MAX(BasicLimit,AddlThreshold-PA_Other)-BasicLimit)*HigherRate+MAX(0,MAX(0,In_Other-PA_Other)-MAX(BasicLimit,AddlThreshold-PA_Other))*AddlRate</f>
      </c>
    </row>
    <row r="24" spans="1:2" x14ac:dyDescent="0.25">
      <c r="A24" s="1" t="s">
        <v>43</v>
      </c>
      <c r="B24" s="11">
        <f>MAX(0,TaxWith-TaxOther)</f>
      </c>
    </row>
    <row r="25" spans="1:2" x14ac:dyDescent="0.25">
      <c r="A25" s="1" t="s">
        <v>44</v>
      </c>
      <c r="B25" s="11">
        <f>MIN(TotInterest,MAX(0,TotProfit),MAX(0,IncWith-PA_With))*ReducerRate</f>
      </c>
    </row>
    <row r="26" spans="1:2" x14ac:dyDescent="0.25">
      <c r="A26" s="3" t="s">
        <v>45</v>
      </c>
      <c r="B26" s="12">
        <f>MAX(0,TaxBeforeCredit-FinanceCredit)</f>
      </c>
    </row>
    <row r="27" spans="1:2" x14ac:dyDescent="0.25">
      <c r="A27" s="3" t="s">
        <v>46</v>
      </c>
      <c r="B27" s="12">
        <f>TotRent-TotExpenses-TotInterest-IncomeTax</f>
      </c>
    </row>
    <row r="28" spans="1:2" x14ac:dyDescent="0.25">
      <c r="A28" s="1" t="s">
        <v>47</v>
      </c>
      <c r="B28" s="13">
        <f>IF(TotProfit&gt;0,IncomeTax/TotProfit,0)</f>
      </c>
    </row>
  </sheetData>
  <mergeCells count="3">
    <mergeCell ref="A1:E1"/>
    <mergeCell ref="B4:D4"/>
    <mergeCell ref="A18:E18"/>
  </mergeCells>
  <dataValidations count="1">
    <dataValidation type="list" sqref="B4">
      <formula1>"2026/27 (20/40/45, 20% credit),2027/28 (22/42/47, 22% credit)"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7"/>
  <sheetFormatPr defaultRowHeight="15" outlineLevelRow="0" outlineLevelCol="0" x14ac:dyDescent="55"/>
  <cols>
    <col min="1" max="1" width="92" customWidth="1"/>
  </cols>
  <sheetData>
    <row r="1" spans="1:1" x14ac:dyDescent="0.25">
      <c r="A1" s="14" t="s">
        <v>48</v>
      </c>
    </row>
    <row r="2" spans="1:1" x14ac:dyDescent="0.25">
      <c r="A2" t="s">
        <v>35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  <row r="6" spans="1:1" x14ac:dyDescent="0.25">
      <c r="A6" t="s">
        <v>35</v>
      </c>
    </row>
    <row r="7" spans="1:1" x14ac:dyDescent="0.25">
      <c r="A7" s="15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35</v>
      </c>
    </row>
    <row r="13" spans="1:1" x14ac:dyDescent="0.25">
      <c r="A13" t="s">
        <v>57</v>
      </c>
    </row>
    <row r="14" spans="1:1" x14ac:dyDescent="0.25">
      <c r="A14" t="s">
        <v>58</v>
      </c>
    </row>
    <row r="15" spans="1:1" x14ac:dyDescent="0.25">
      <c r="A15" t="s">
        <v>35</v>
      </c>
    </row>
    <row r="16" spans="1:1" x14ac:dyDescent="0.25">
      <c r="A16" t="s">
        <v>59</v>
      </c>
    </row>
    <row r="17" spans="1:1" x14ac:dyDescent="0.25">
      <c r="A17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cols>
    <col min="1" max="1" width="100" customWidth="1"/>
  </cols>
  <sheetData>
    <row r="1" spans="1:1" x14ac:dyDescent="0.25">
      <c r="A1" s="16" t="s">
        <v>61</v>
      </c>
    </row>
    <row r="2" spans="1:1" x14ac:dyDescent="0.25">
      <c r="A2" t="s">
        <v>35</v>
      </c>
    </row>
    <row r="3" spans="1:1" x14ac:dyDescent="0.25">
      <c r="A3" t="s">
        <v>62</v>
      </c>
    </row>
    <row r="4" spans="1:1" x14ac:dyDescent="0.25">
      <c r="A4" t="s">
        <v>63</v>
      </c>
    </row>
    <row r="5" spans="1:1" x14ac:dyDescent="0.25">
      <c r="A5" t="s">
        <v>64</v>
      </c>
    </row>
    <row r="6" spans="1:1" x14ac:dyDescent="0.25">
      <c r="A6" t="s">
        <v>35</v>
      </c>
    </row>
    <row r="7" spans="1:1" x14ac:dyDescent="0.25">
      <c r="A7" t="s">
        <v>65</v>
      </c>
    </row>
    <row r="8" spans="1:1" x14ac:dyDescent="0.25">
      <c r="A8" t="s">
        <v>66</v>
      </c>
    </row>
    <row r="9" spans="1:1" x14ac:dyDescent="0.25">
      <c r="A9" t="s">
        <v>67</v>
      </c>
    </row>
    <row r="10" spans="1:1" x14ac:dyDescent="0.25">
      <c r="A10" t="s">
        <v>68</v>
      </c>
    </row>
    <row r="11" spans="1:1" x14ac:dyDescent="0.25">
      <c r="A11" t="s">
        <v>35</v>
      </c>
    </row>
    <row r="12" spans="1:1" x14ac:dyDescent="0.25">
      <c r="A12" t="s">
        <v>69</v>
      </c>
    </row>
    <row r="13" spans="1:1" x14ac:dyDescent="0.25">
      <c r="A13" t="s">
        <v>70</v>
      </c>
    </row>
    <row r="14" spans="1:1" x14ac:dyDescent="0.25">
      <c r="A14" t="s">
        <v>71</v>
      </c>
    </row>
    <row r="15" spans="1:1" x14ac:dyDescent="0.25">
      <c r="A15" t="s">
        <v>72</v>
      </c>
    </row>
    <row r="16" spans="1:1" x14ac:dyDescent="0.25">
      <c r="A16" t="s">
        <v>35</v>
      </c>
    </row>
    <row r="17" spans="1:1" x14ac:dyDescent="0.25">
      <c r="A17" t="s">
        <v>73</v>
      </c>
    </row>
    <row r="18" spans="1:1" x14ac:dyDescent="0.25">
      <c r="A18" t="s">
        <v>74</v>
      </c>
    </row>
    <row r="19" spans="1:1" x14ac:dyDescent="0.25">
      <c r="A19" t="s">
        <v>75</v>
      </c>
    </row>
    <row r="20" spans="1:1" x14ac:dyDescent="0.25">
      <c r="A20" t="s">
        <v>76</v>
      </c>
    </row>
    <row r="21" spans="1:1" x14ac:dyDescent="0.25">
      <c r="A21" t="s">
        <v>35</v>
      </c>
    </row>
    <row r="22" spans="1:1" x14ac:dyDescent="0.25">
      <c r="A22" t="s">
        <v>77</v>
      </c>
    </row>
    <row r="23" spans="1:1" x14ac:dyDescent="0.25">
      <c r="A23" t="s">
        <v>78</v>
      </c>
    </row>
    <row r="24" spans="1:1" x14ac:dyDescent="0.25">
      <c r="A24" t="s">
        <v>79</v>
      </c>
    </row>
    <row r="25" spans="1:1" x14ac:dyDescent="0.25">
      <c r="A25" t="s">
        <v>35</v>
      </c>
    </row>
    <row r="26" spans="1:1" x14ac:dyDescent="0.25">
      <c r="A26" t="s">
        <v>80</v>
      </c>
    </row>
    <row r="27" spans="1:1" x14ac:dyDescent="0.25">
      <c r="A2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Lookups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Tax Partners</dc:creator>
  <dc:title/>
  <dc:subject/>
  <dc:description/>
  <cp:keywords/>
  <cp:category/>
  <cp:lastModifiedBy>Property Tax Partners</cp:lastModifiedBy>
  <dcterms:created xsi:type="dcterms:W3CDTF">2024-01-01T00:00:00Z</dcterms:created>
  <dcterms:modified xsi:type="dcterms:W3CDTF">2024-01-01T00:00:00Z</dcterms:modified>
</cp:coreProperties>
</file>