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2000" windowHeight="9000" firstSheet="0" activeTab="0"/>
  </bookViews>
  <sheets>
    <sheet sheetId="1" name="Rates" state="visible" r:id="rId4"/>
    <sheet sheetId="2" name="Your figures" state="visible" r:id="rId5"/>
    <sheet sheetId="3" name="Start here" state="visible" r:id="rId6"/>
    <sheet sheetId="4" name="Notes" state="visible" r:id="rId7"/>
  </sheets>
  <definedNames>
    <definedName name="STANDARD_ALLOWANCE">Rates!$B$2</definedName>
    <definedName name="MIN_ALLOWANCE">Rates!$B$3</definedName>
    <definedName name="THRESHOLD_LIMIT">Rates!$B$4</definedName>
    <definedName name="ADJUSTED_LIMIT">Rates!$B$5</definedName>
    <definedName name="RATE_BASIC">Rates!$B$6</definedName>
    <definedName name="RATE_HIGHER">Rates!$B$7</definedName>
    <definedName name="RATE_ADDITIONAL">Rates!$B$8</definedName>
    <definedName name="In_ThresholdIncome">'Your figures'!$B$3</definedName>
    <definedName name="In_PensionGrowth">'Your figures'!$B$4</definedName>
    <definedName name="In_TaxRate">'Your figures'!$B$5</definedName>
    <definedName name="AdjustedIncome">'Your figures'!$B$7</definedName>
    <definedName name="IsTapered">'Your figures'!$B$8</definedName>
    <definedName name="TaperReduction">'Your figures'!$B$9</definedName>
    <definedName name="AnnualAllowance">'Your figures'!$B$10</definedName>
    <definedName name="Excess">'Your figures'!$B$11</definedName>
    <definedName name="TaxCharge">'Your figures'!$B$12</definedName>
  </definedNames>
  <calcPr calcId="171027"/>
</workbook>
</file>

<file path=xl/sharedStrings.xml><?xml version="1.0" encoding="utf-8"?>
<sst xmlns="http://schemas.openxmlformats.org/spreadsheetml/2006/main" count="77" uniqueCount="64">
  <si>
    <t>Locked rates: do not edit (2025/26 basis)</t>
  </si>
  <si>
    <t>Standard annual allowance (GBP): 2025/26 basis</t>
  </si>
  <si>
    <t>Minimum tapered allowance (GBP): 2025/26 basis</t>
  </si>
  <si>
    <t>Threshold income taper trigger (GBP): 2025/26 basis</t>
  </si>
  <si>
    <t>Adjusted income taper trigger (GBP): 2025/26 basis</t>
  </si>
  <si>
    <t>Income tax: basic rate (for AA charge)</t>
  </si>
  <si>
    <t>Income tax: higher rate (for AA charge)</t>
  </si>
  <si>
    <t>Income tax: additional rate (for AA charge)</t>
  </si>
  <si>
    <t>Your figures: edit the highlighted cells</t>
  </si>
  <si>
    <t>Summary</t>
  </si>
  <si>
    <t>Threshold income for the year (GBP)</t>
  </si>
  <si>
    <t>Threshold income</t>
  </si>
  <si>
    <t>NHS pension input amount (growth this year, GBP)</t>
  </si>
  <si>
    <t>Pension input amount (growth)</t>
  </si>
  <si>
    <t>Marginal income tax rate (use: 0.20 / 0.40 / 0.45)</t>
  </si>
  <si>
    <t>Adjusted income</t>
  </si>
  <si>
    <t>Taper applies?</t>
  </si>
  <si>
    <t>Adjusted income (threshold + pension growth)</t>
  </si>
  <si>
    <t>Annual allowance</t>
  </si>
  <si>
    <t>Excess over allowance</t>
  </si>
  <si>
    <t>Taper reduction (GBP, 0 if not tapered)</t>
  </si>
  <si>
    <t>Your annual allowance (GBP)</t>
  </si>
  <si>
    <t>Annual allowance charge</t>
  </si>
  <si>
    <t>Excess over annual allowance (GBP)</t>
  </si>
  <si>
    <t>Effective cost %</t>
  </si>
  <si>
    <t>Estimated annual allowance tax charge (GBP)</t>
  </si>
  <si>
    <t>Effective cost as % of pension growth (when charge &gt; 0)</t>
  </si>
  <si>
    <t>Check: excess + allowance = pension growth</t>
  </si>
  <si>
    <t>NHS Pension annual allowance and taper model</t>
  </si>
  <si>
    <t>Medical Accountants UK</t>
  </si>
  <si>
    <t/>
  </si>
  <si>
    <t>This model estimates your NHS pension annual allowance position and any annual</t>
  </si>
  <si>
    <t>allowance charge, including the taper, for 2025/26.</t>
  </si>
  <si>
    <t>How to use:</t>
  </si>
  <si>
    <t>1. Go to the 'Your figures' tab.</t>
  </si>
  <si>
    <t>2. Edit the highlighted cells: threshold income, pension growth, tax rate.</t>
  </si>
  <si>
    <t>3. Every figure recalculates automatically.</t>
  </si>
  <si>
    <t>Tax rate options: 0.20 (basic 20%), 0.40 (higher 40%), 0.45 (additional 45%).</t>
  </si>
  <si>
    <t>The 'Rates' tab holds the locked 2025/26 rates. Do not edit it.</t>
  </si>
  <si>
    <t>See 'Notes' for assumptions and limitations.</t>
  </si>
  <si>
    <t>The taper applies only when threshold income is over 200,000 AND adjusted income</t>
  </si>
  <si>
    <t>is over 260,000. The minimum tapered allowance is 10,000.</t>
  </si>
  <si>
    <t>Carry-forward from the previous three years can remove a charge entirely and is</t>
  </si>
  <si>
    <t>not modelled here. Scheme Pays is available where the charge is over 2,000 and</t>
  </si>
  <si>
    <t>NHS scheme growth alone exceeds 60,000. Speak to a specialist.</t>
  </si>
  <si>
    <t>Assumptions and limitations</t>
  </si>
  <si>
    <t>2025/26 rates (restored 2023): standard annual allowance GBP60,000;</t>
  </si>
  <si>
    <t>minimum tapered allowance GBP10,000; threshold income trigger GBP200,000;</t>
  </si>
  <si>
    <t>adjusted income trigger GBP260,000.</t>
  </si>
  <si>
    <t>Taper: where threshold income is over GBP200,000 AND adjusted income is over GBP260,000,</t>
  </si>
  <si>
    <t>the allowance reduces by GBP1 for every GBP2 of excess adjusted income, down to GBP10,000.</t>
  </si>
  <si>
    <t>Pension input amount: this model uses the GROWTH in your pension benefits (the pension</t>
  </si>
  <si>
    <t>input amount), not the contributions you paid. These differ for defined-benefit schemes.</t>
  </si>
  <si>
    <t>Carry-forward: unused annual allowance from the previous three tax years can offset a</t>
  </si>
  <si>
    <t>current-year excess. Carry-forward is not modelled here.</t>
  </si>
  <si>
    <t>Scheme Pays: where the annual allowance charge exceeds GBP2,000 and NHS scheme growth</t>
  </si>
  <si>
    <t>alone exceeds GBP60,000, Mandatory Scheme Pays lets the scheme settle the charge</t>
  </si>
  <si>
    <t>in exchange for a permanent pension reduction. Election deadline: 31 July in the</t>
  </si>
  <si>
    <t>tax year after the charge (2025/26 charge: 31 July 2027).</t>
  </si>
  <si>
    <t>CT 25% flat is used in the incorporation model (see incorporation-model.xlsx Notes).</t>
  </si>
  <si>
    <t>This model is for NHS pension only.</t>
  </si>
  <si>
    <t>This is a directional model. Your actual position depends on carry-forward,</t>
  </si>
  <si>
    <t>Scheme Pays eligibility, other income and pension inputs from non-NHS schemes.</t>
  </si>
  <si>
    <t>Speak to a specialist for your exact position.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</si>
</sst>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.######"/>
    <numFmt numFmtId="165" formatCode="£#,##0"/>
  </numFmts>
  <fonts count="7" x14ac:knownFonts="1">
    <font>
      <color theme="1"/>
      <family val="2"/>
      <scheme val="minor"/>
      <sz val="11"/>
      <name val="Calibri"/>
    </font>
    <font>
      <b/>
      <color rgb="FFFFFFFF"/>
      <sz val="11"/>
    </font>
    <font>
      <color rgb="FF001b3d"/>
    </font>
    <font>
      <b/>
      <color rgb="FF001b3d"/>
    </font>
    <font>
      <b/>
    </font>
    <font>
      <b/>
      <color rgb="FF001b3d"/>
      <sz val="14"/>
    </font>
    <font>
      <b/>
      <color rgb="FF001b3d"/>
      <sz val="12"/>
    </font>
  </fonts>
  <fills count="5">
    <fill>
      <patternFill patternType="none"/>
    </fill>
    <fill>
      <patternFill patternType="gray125"/>
    </fill>
    <fill>
      <patternFill patternType="solid">
        <fgColor rgb="FF001b3d"/>
      </patternFill>
    </fill>
    <fill>
      <patternFill patternType="solid">
        <fgColor rgb="FFb87333"/>
      </patternFill>
    </fill>
    <fill>
      <patternFill patternType="solid">
        <fgColor rgb="FFF5ED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 applyAlignment="1">
      <alignment wrapText="1"/>
    </xf>
    <xf numFmtId="0" fontId="2" fillId="0" borderId="0" xfId="0" applyFont="1" applyAlignment="1">
      <alignment wrapText="1"/>
    </xf>
    <xf numFmtId="164" fontId="0" fillId="0" borderId="0" xfId="0" applyNumberFormat="1"/>
    <xf numFmtId="10" fontId="0" fillId="0" borderId="0" xfId="0" applyNumberFormat="1"/>
    <xf numFmtId="0" fontId="1" fillId="2" borderId="0" xfId="0" applyFont="1" applyFill="1" applyAlignment="1">
      <alignment vertical="center"/>
    </xf>
    <xf numFmtId="0" fontId="1" fillId="3" borderId="0" xfId="0" applyFont="1" applyFill="1" applyAlignment="1">
      <alignment vertical="center"/>
    </xf>
    <xf numFmtId="0" fontId="2" fillId="0" borderId="0" xfId="0" applyFont="1"/>
    <xf numFmtId="165" fontId="0" fillId="4" borderId="0" xfId="0" applyNumberFormat="1" applyFill="1" applyProtection="1">
      <protection locked="0"/>
    </xf>
    <xf numFmtId="165" fontId="0" fillId="0" borderId="0" xfId="0" applyNumberFormat="1"/>
    <xf numFmtId="10" fontId="0" fillId="4" borderId="0" xfId="0" applyNumberFormat="1" applyFill="1" applyProtection="1">
      <protection locked="0"/>
    </xf>
    <xf numFmtId="0" fontId="3" fillId="0" borderId="0" xfId="0" applyFont="1"/>
    <xf numFmtId="165" fontId="3" fillId="0" borderId="0" xfId="0" applyNumberFormat="1" applyFont="1"/>
    <xf numFmtId="0" fontId="4" fillId="0" borderId="0" xfId="0" applyFont="1"/>
    <xf numFmtId="165" fontId="4" fillId="0" borderId="0" xfId="0" applyNumberFormat="1" applyFont="1"/>
    <xf numFmtId="2" fontId="0" fillId="0" borderId="0" xfId="0" applyNumberFormat="1"/>
    <xf numFmtId="0" fontId="5" fillId="0" borderId="0" xfId="0" applyFont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1b3d"/>
  </sheetPr>
  <dimension ref="A1:B8"/>
  <sheetFormatPr defaultRowHeight="15" outlineLevelRow="0" outlineLevelCol="0" x14ac:dyDescent="55"/>
  <cols>
    <col min="1" max="1" width="60" style="1" customWidth="1"/>
    <col min="2" max="2" width="18" customWidth="1"/>
  </cols>
  <sheetData>
    <row r="1" spans="1:2" x14ac:dyDescent="0.25">
      <c r="A1" s="2" t="s">
        <v>0</v>
      </c>
      <c r="B1" s="2"/>
    </row>
    <row r="2" spans="1:2" x14ac:dyDescent="0.25">
      <c r="A2" s="3" t="s">
        <v>1</v>
      </c>
      <c r="B2" s="4">
        <v>60000</v>
      </c>
    </row>
    <row r="3" spans="1:2" x14ac:dyDescent="0.25">
      <c r="A3" s="3" t="s">
        <v>2</v>
      </c>
      <c r="B3" s="4">
        <v>10000</v>
      </c>
    </row>
    <row r="4" spans="1:2" x14ac:dyDescent="0.25">
      <c r="A4" s="3" t="s">
        <v>3</v>
      </c>
      <c r="B4" s="4">
        <v>200000</v>
      </c>
    </row>
    <row r="5" spans="1:2" x14ac:dyDescent="0.25">
      <c r="A5" s="3" t="s">
        <v>4</v>
      </c>
      <c r="B5" s="4">
        <v>260000</v>
      </c>
    </row>
    <row r="6" spans="1:2" x14ac:dyDescent="0.25">
      <c r="A6" s="3" t="s">
        <v>5</v>
      </c>
      <c r="B6" s="5">
        <v>0.2</v>
      </c>
    </row>
    <row r="7" spans="1:2" x14ac:dyDescent="0.25">
      <c r="A7" s="3" t="s">
        <v>6</v>
      </c>
      <c r="B7" s="5">
        <v>0.4</v>
      </c>
    </row>
    <row r="8" spans="1:2" x14ac:dyDescent="0.25">
      <c r="A8" s="3" t="s">
        <v>7</v>
      </c>
      <c r="B8" s="5">
        <v>0.45</v>
      </c>
    </row>
  </sheetData>
  <sheetProtection sheet="1"/>
  <mergeCells count="1">
    <mergeCell ref="A1:B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87333"/>
  </sheetPr>
  <dimension ref="A1:E15"/>
  <sheetFormatPr defaultRowHeight="15" outlineLevelRow="0" outlineLevelCol="0" x14ac:dyDescent="55"/>
  <cols>
    <col min="1" max="1" width="52" customWidth="1"/>
    <col min="2" max="2" width="20" customWidth="1"/>
    <col min="3" max="3" width="4" customWidth="1"/>
    <col min="4" max="4" width="38" customWidth="1"/>
    <col min="5" max="5" width="20" customWidth="1"/>
  </cols>
  <sheetData>
    <row r="1" spans="1:5" x14ac:dyDescent="0.25">
      <c r="A1" s="6" t="s">
        <v>8</v>
      </c>
      <c r="B1" s="6"/>
      <c r="D1" s="7" t="s">
        <v>9</v>
      </c>
      <c r="E1" s="7"/>
    </row>
    <row r="3" spans="1:5" x14ac:dyDescent="0.25">
      <c r="A3" s="8" t="s">
        <v>10</v>
      </c>
      <c r="B3" s="9">
        <v>150000</v>
      </c>
      <c r="D3" s="8" t="s">
        <v>11</v>
      </c>
      <c r="E3" s="10">
        <f>In_ThresholdIncome</f>
      </c>
    </row>
    <row r="4" spans="1:5" x14ac:dyDescent="0.25">
      <c r="A4" s="8" t="s">
        <v>12</v>
      </c>
      <c r="B4" s="9">
        <v>40000</v>
      </c>
      <c r="D4" s="8" t="s">
        <v>13</v>
      </c>
      <c r="E4" s="10">
        <f>In_PensionGrowth</f>
      </c>
    </row>
    <row r="5" spans="1:5" x14ac:dyDescent="0.25">
      <c r="A5" s="8" t="s">
        <v>14</v>
      </c>
      <c r="B5" s="11">
        <v>0.4</v>
      </c>
      <c r="D5" s="8" t="s">
        <v>15</v>
      </c>
      <c r="E5" s="10">
        <f>AdjustedIncome</f>
      </c>
    </row>
    <row r="6" spans="4:5" x14ac:dyDescent="0.25">
      <c r="D6" s="8" t="s">
        <v>16</v>
      </c>
      <c r="E6">
        <f>IsTapered</f>
      </c>
    </row>
    <row r="7" spans="1:5" x14ac:dyDescent="0.25">
      <c r="A7" s="8" t="s">
        <v>17</v>
      </c>
      <c r="B7" s="10">
        <f>In_ThresholdIncome+In_PensionGrowth</f>
      </c>
      <c r="D7" s="12" t="s">
        <v>18</v>
      </c>
      <c r="E7" s="13">
        <f>AnnualAllowance</f>
      </c>
    </row>
    <row r="8" spans="1:5" x14ac:dyDescent="0.25">
      <c r="A8" s="8" t="s">
        <v>16</v>
      </c>
      <c r="B8">
        <f>IF(AND(In_ThresholdIncome&gt;THRESHOLD_LIMIT,AdjustedIncome&gt;ADJUSTED_LIMIT),"Yes","No")</f>
      </c>
      <c r="D8" s="8" t="s">
        <v>19</v>
      </c>
      <c r="E8" s="10">
        <f>Excess</f>
      </c>
    </row>
    <row r="9" spans="1:2" x14ac:dyDescent="0.25">
      <c r="A9" s="8" t="s">
        <v>20</v>
      </c>
      <c r="B9" s="10">
        <f>IF(AND(In_ThresholdIncome&gt;THRESHOLD_LIMIT,AdjustedIncome&gt;ADJUSTED_LIMIT),(AdjustedIncome-ADJUSTED_LIMIT)/2,0)</f>
      </c>
    </row>
    <row r="10" spans="1:5" x14ac:dyDescent="0.25">
      <c r="A10" s="14" t="s">
        <v>21</v>
      </c>
      <c r="B10" s="15">
        <f>MAX(MIN_ALLOWANCE,STANDARD_ALLOWANCE-TaperReduction)</f>
      </c>
      <c r="D10" s="12" t="s">
        <v>22</v>
      </c>
      <c r="E10" s="13">
        <f>TaxCharge</f>
      </c>
    </row>
    <row r="11" spans="1:5" x14ac:dyDescent="0.25">
      <c r="A11" s="8" t="s">
        <v>23</v>
      </c>
      <c r="B11" s="10">
        <f>MAX(0,In_PensionGrowth-AnnualAllowance)</f>
      </c>
      <c r="D11" s="8" t="s">
        <v>24</v>
      </c>
      <c r="E11" s="16">
        <f>TaxCharge/MAX(In_PensionGrowth,1)*100</f>
      </c>
    </row>
    <row r="12" spans="1:2" x14ac:dyDescent="0.25">
      <c r="A12" s="14" t="s">
        <v>25</v>
      </c>
      <c r="B12" s="13">
        <f>Excess*In_TaxRate</f>
      </c>
    </row>
    <row r="13" spans="1:2" x14ac:dyDescent="0.25">
      <c r="A13" s="8" t="s">
        <v>26</v>
      </c>
      <c r="B13" s="5">
        <f>IF(AND(In_PensionGrowth&gt;0,TaxCharge&gt;0),TaxCharge/In_PensionGrowth,0)</f>
      </c>
    </row>
    <row r="15" spans="1:2" x14ac:dyDescent="0.25">
      <c r="A15" s="8" t="s">
        <v>27</v>
      </c>
      <c r="B15">
        <f>IF(ABS(Excess+AnnualAllowance-In_PensionGrowth)&lt;0.01,"OK","ERROR")</f>
      </c>
    </row>
  </sheetData>
  <mergeCells count="2">
    <mergeCell ref="A1:B1"/>
    <mergeCell ref="D1:E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87333"/>
  </sheetPr>
  <dimension ref="A1:A22"/>
  <sheetFormatPr defaultRowHeight="15" outlineLevelRow="0" outlineLevelCol="0" x14ac:dyDescent="55"/>
  <cols>
    <col min="1" max="1" width="90" customWidth="1"/>
  </cols>
  <sheetData>
    <row r="1" spans="1:1" x14ac:dyDescent="0.25">
      <c r="A1" s="17" t="s">
        <v>28</v>
      </c>
    </row>
    <row r="2" spans="1:1" x14ac:dyDescent="0.25">
      <c r="A2" t="s">
        <v>29</v>
      </c>
    </row>
    <row r="3" spans="1:1" x14ac:dyDescent="0.25">
      <c r="A3" t="s">
        <v>30</v>
      </c>
    </row>
    <row r="4" spans="1:1" x14ac:dyDescent="0.25">
      <c r="A4" t="s">
        <v>31</v>
      </c>
    </row>
    <row r="5" spans="1:1" x14ac:dyDescent="0.25">
      <c r="A5" t="s">
        <v>32</v>
      </c>
    </row>
    <row r="6" spans="1:1" x14ac:dyDescent="0.25">
      <c r="A6" t="s">
        <v>30</v>
      </c>
    </row>
    <row r="7" spans="1:1" x14ac:dyDescent="0.25">
      <c r="A7" s="18" t="s">
        <v>33</v>
      </c>
    </row>
    <row r="8" spans="1:1" x14ac:dyDescent="0.25">
      <c r="A8" t="s">
        <v>34</v>
      </c>
    </row>
    <row r="9" spans="1:1" x14ac:dyDescent="0.25">
      <c r="A9" t="s">
        <v>35</v>
      </c>
    </row>
    <row r="10" spans="1:1" x14ac:dyDescent="0.25">
      <c r="A10" t="s">
        <v>36</v>
      </c>
    </row>
    <row r="11" spans="1:1" x14ac:dyDescent="0.25">
      <c r="A11" t="s">
        <v>30</v>
      </c>
    </row>
    <row r="12" spans="1:1" x14ac:dyDescent="0.25">
      <c r="A12" t="s">
        <v>37</v>
      </c>
    </row>
    <row r="13" spans="1:1" x14ac:dyDescent="0.25">
      <c r="A13" t="s">
        <v>30</v>
      </c>
    </row>
    <row r="14" spans="1:1" x14ac:dyDescent="0.25">
      <c r="A14" t="s">
        <v>38</v>
      </c>
    </row>
    <row r="15" spans="1:1" x14ac:dyDescent="0.25">
      <c r="A15" t="s">
        <v>39</v>
      </c>
    </row>
    <row r="16" spans="1:1" x14ac:dyDescent="0.25">
      <c r="A16" t="s">
        <v>30</v>
      </c>
    </row>
    <row r="17" spans="1:1" x14ac:dyDescent="0.25">
      <c r="A17" t="s">
        <v>40</v>
      </c>
    </row>
    <row r="18" spans="1:1" x14ac:dyDescent="0.25">
      <c r="A18" t="s">
        <v>41</v>
      </c>
    </row>
    <row r="19" spans="1:1" x14ac:dyDescent="0.25">
      <c r="A19" t="s">
        <v>30</v>
      </c>
    </row>
    <row r="20" spans="1:1" x14ac:dyDescent="0.25">
      <c r="A20" t="s">
        <v>42</v>
      </c>
    </row>
    <row r="21" spans="1:1" x14ac:dyDescent="0.25">
      <c r="A21" t="s">
        <v>43</v>
      </c>
    </row>
    <row r="22" spans="1:1" x14ac:dyDescent="0.25">
      <c r="A22" t="s">
        <v>44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6"/>
  <sheetFormatPr defaultRowHeight="15" outlineLevelRow="0" outlineLevelCol="0" x14ac:dyDescent="55"/>
  <cols>
    <col min="1" max="1" width="100" customWidth="1"/>
  </cols>
  <sheetData>
    <row r="1" spans="1:1" x14ac:dyDescent="0.25">
      <c r="A1" s="17" t="s">
        <v>45</v>
      </c>
    </row>
    <row r="2" spans="1:1" x14ac:dyDescent="0.25">
      <c r="A2" t="s">
        <v>30</v>
      </c>
    </row>
    <row r="3" spans="1:1" x14ac:dyDescent="0.25">
      <c r="A3" t="s">
        <v>46</v>
      </c>
    </row>
    <row r="4" spans="1:1" x14ac:dyDescent="0.25">
      <c r="A4" t="s">
        <v>47</v>
      </c>
    </row>
    <row r="5" spans="1:1" x14ac:dyDescent="0.25">
      <c r="A5" t="s">
        <v>48</v>
      </c>
    </row>
    <row r="6" spans="1:1" x14ac:dyDescent="0.25">
      <c r="A6" t="s">
        <v>30</v>
      </c>
    </row>
    <row r="7" spans="1:1" x14ac:dyDescent="0.25">
      <c r="A7" t="s">
        <v>49</v>
      </c>
    </row>
    <row r="8" spans="1:1" x14ac:dyDescent="0.25">
      <c r="A8" t="s">
        <v>50</v>
      </c>
    </row>
    <row r="9" spans="1:1" x14ac:dyDescent="0.25">
      <c r="A9" t="s">
        <v>30</v>
      </c>
    </row>
    <row r="10" spans="1:1" x14ac:dyDescent="0.25">
      <c r="A10" t="s">
        <v>51</v>
      </c>
    </row>
    <row r="11" spans="1:1" x14ac:dyDescent="0.25">
      <c r="A11" t="s">
        <v>52</v>
      </c>
    </row>
    <row r="12" spans="1:1" x14ac:dyDescent="0.25">
      <c r="A12" t="s">
        <v>30</v>
      </c>
    </row>
    <row r="13" spans="1:1" x14ac:dyDescent="0.25">
      <c r="A13" t="s">
        <v>53</v>
      </c>
    </row>
    <row r="14" spans="1:1" x14ac:dyDescent="0.25">
      <c r="A14" t="s">
        <v>54</v>
      </c>
    </row>
    <row r="15" spans="1:1" x14ac:dyDescent="0.25">
      <c r="A15" t="s">
        <v>30</v>
      </c>
    </row>
    <row r="16" spans="1:1" x14ac:dyDescent="0.25">
      <c r="A16" t="s">
        <v>55</v>
      </c>
    </row>
    <row r="17" spans="1:1" x14ac:dyDescent="0.25">
      <c r="A17" t="s">
        <v>56</v>
      </c>
    </row>
    <row r="18" spans="1:1" x14ac:dyDescent="0.25">
      <c r="A18" t="s">
        <v>57</v>
      </c>
    </row>
    <row r="19" spans="1:1" x14ac:dyDescent="0.25">
      <c r="A19" t="s">
        <v>58</v>
      </c>
    </row>
    <row r="20" spans="1:1" x14ac:dyDescent="0.25">
      <c r="A20" t="s">
        <v>30</v>
      </c>
    </row>
    <row r="21" spans="1:1" x14ac:dyDescent="0.25">
      <c r="A21" t="s">
        <v>59</v>
      </c>
    </row>
    <row r="22" spans="1:1" x14ac:dyDescent="0.25">
      <c r="A22" t="s">
        <v>60</v>
      </c>
    </row>
    <row r="23" spans="1:1" x14ac:dyDescent="0.25">
      <c r="A23" t="s">
        <v>30</v>
      </c>
    </row>
    <row r="24" spans="1:1" x14ac:dyDescent="0.25">
      <c r="A24" t="s">
        <v>61</v>
      </c>
    </row>
    <row r="25" spans="1:1" x14ac:dyDescent="0.25">
      <c r="A25" t="s">
        <v>62</v>
      </c>
    </row>
    <row r="26" spans="1:1" x14ac:dyDescent="0.25">
      <c r="A26" t="s">
        <v>63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Rates</vt:lpstr>
      <vt:lpstr>Your figures</vt:lpstr>
      <vt:lpstr>Start here</vt:lpstr>
      <vt:lpstr>Notes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Medical Accountants UK</dc:creator>
  <dc:title/>
  <dc:subject/>
  <dc:description/>
  <cp:keywords/>
  <cp:category/>
  <cp:lastModifiedBy>Medical Accountants UK</cp:lastModifiedBy>
  <dcterms:created xsi:type="dcterms:W3CDTF">2024-01-01T00:00:00Z</dcterms:created>
  <dcterms:modified xsi:type="dcterms:W3CDTF">2024-01-01T00:00:00Z</dcterms:modified>
</cp:coreProperties>
</file>