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  <sheet sheetId="2" name="Start here" state="visible" r:id="rId5"/>
    <sheet sheetId="3" name="Your figures" state="visible" r:id="rId6"/>
    <sheet sheetId="4" name="Notes" state="visible" r:id="rId7"/>
  </sheets>
  <definedNames>
    <definedName name="BADR_2025_26">Rates!$B$2</definedName>
    <definedName name="BADR_2026_27">Rates!$B$3</definedName>
    <definedName name="STD_CGT">Rates!$B$4</definedName>
    <definedName name="LIFETIME_LIMIT">Rates!$B$5</definedName>
    <definedName name="In_Proceeds">'Your figures'!$B$2</definedName>
    <definedName name="In_Cost">'Your figures'!$B$3</definedName>
    <definedName name="In_PrevBadr">'Your figures'!$B$4</definedName>
    <definedName name="In_Year">'Your figures'!$B$5</definedName>
    <definedName name="Gain_BADR">'Your figures'!$B$7</definedName>
    <definedName name="Gain_Std">'Your figures'!$C$7</definedName>
    <definedName name="In_BadrRate">'Your figures'!$B$8</definedName>
    <definedName name="EligibleSlice">'Your figures'!$B$9</definedName>
    <definedName name="OverflowSlice">'Your figures'!$B$10</definedName>
    <definedName name="BadrTax">'Your figures'!$B$11</definedName>
    <definedName name="StdTax_BADR">'Your figures'!$B$12</definedName>
    <definedName name="StdTax_NoBADR">'Your figures'!$C$12</definedName>
    <definedName name="TotalTax_BADR">'Your figures'!$B$13</definedName>
    <definedName name="TotalTax_Std">'Your figures'!$C$13</definedName>
    <definedName name="NetProceeds_BADR">'Your figures'!$B$14</definedName>
    <definedName name="NetProceeds_Std">'Your figures'!$C$14</definedName>
    <definedName name="EffectiveRate_BADR">'Your figures'!$B$15</definedName>
    <definedName name="EffectiveRate_Std">'Your figures'!$C$15</definedName>
    <definedName name="Conservation_BADR">'Your figures'!$B$16</definedName>
    <definedName name="Conservation_Std">'Your figures'!$C$16</definedName>
  </definedNames>
  <calcPr calcId="171027"/>
</workbook>
</file>

<file path=xl/sharedStrings.xml><?xml version="1.0" encoding="utf-8"?>
<sst xmlns="http://schemas.openxmlformats.org/spreadsheetml/2006/main" count="47" uniqueCount="46">
  <si>
    <t>Locked rates: do not edit</t>
  </si>
  <si>
    <t>BADR rate 14%: disposals to 5 April 2026</t>
  </si>
  <si>
    <t>BADR rate 18%: from 6 April 2026</t>
  </si>
  <si>
    <t>Standard CGT higher rate 24%: from 30 Oct 2024</t>
  </si>
  <si>
    <t>BADR lifetime limit (GBP): per individual, cumulative</t>
  </si>
  <si>
    <t>Agency Founder Finance - Agency exit, CGT and BADR model</t>
  </si>
  <si>
    <t>Edit the blue cells on the Your figures sheet. Both scenario columns recalculate automatically.</t>
  </si>
  <si>
    <t>BADR rate: 14% for disposals to 5 April 2026, 18% from 6 April 2026. Lifetime limit: 1,000,000.</t>
  </si>
  <si>
    <t>Standard CGT higher rate: 24% (from 30 Oct 2024). Annual exempt amount: 3,000.</t>
  </si>
  <si>
    <t>Qualifying conditions: 5% ordinary shares, 5% voting rights, officer or employee throughout 2 years to disposal.</t>
  </si>
  <si>
    <t>This model is a starting point. Take specialist advice before an exit transaction.</t>
  </si>
  <si>
    <t>Your figures (edit the blue cells)</t>
  </si>
  <si>
    <t>With BADR</t>
  </si>
  <si>
    <t>Standard CGT (if you do not qualify)</t>
  </si>
  <si>
    <t>Sale proceeds (GBP)</t>
  </si>
  <si>
    <t>Original cost (GBP)</t>
  </si>
  <si>
    <t>Previous BADR lifetime limit used (GBP)</t>
  </si>
  <si>
    <t>Tax year (2025/26 or 2026/27)</t>
  </si>
  <si>
    <t>2026/27</t>
  </si>
  <si>
    <t>Computed (2026/27 or 2025/26 rates)</t>
  </si>
  <si>
    <t>Standard CGT</t>
  </si>
  <si>
    <t>Gain (GBP)</t>
  </si>
  <si>
    <t>BADR rate (by year)</t>
  </si>
  <si>
    <t>n/a</t>
  </si>
  <si>
    <t>Eligible for BADR (GBP)</t>
  </si>
  <si>
    <t>Gain above lifetime limit (GBP)</t>
  </si>
  <si>
    <t>BADR tax (GBP)</t>
  </si>
  <si>
    <t>Standard CGT (on overflow / full gain, GBP)</t>
  </si>
  <si>
    <t>Total tax (GBP)</t>
  </si>
  <si>
    <t>Net proceeds (GBP)</t>
  </si>
  <si>
    <t>Effective rate on gain</t>
  </si>
  <si>
    <t>Conservation check (must be OK)</t>
  </si>
  <si>
    <t>Notes: Agency Founder Finance agency exit, CGT and BADR model</t>
  </si>
  <si>
    <t>1. BADR rate: 14% for disposals to 5 April 2026, 18% from 6 April 2026 (Finance Act 2026).</t>
  </si>
  <si>
    <t>2. An unconditional exchange of contracts on or before 5 April 2026 fixes the 14% rate even if completion follows later.</t>
  </si>
  <si>
    <t>3. Qualifying conditions for BADR on a share sale: hold at least 5% of ordinary share capital, 5% of voting rights,</t>
  </si>
  <si>
    <t xml:space="preserve">   and be an officer or employee throughout the 2 years to disposal.</t>
  </si>
  <si>
    <t>4. BADR lifetime limit: 1,000,000 per individual. Any previous BADR you have claimed reduces the remaining limit.</t>
  </si>
  <si>
    <t>5. Earn-outs: the right to a future performance payment is a separate chargeable asset (Marren v Ingles).</t>
  </si>
  <si>
    <t xml:space="preserve">   BADR generally does not reach the second disposal. Earn-outs are usually taxed at the standard CGT rate.</t>
  </si>
  <si>
    <t xml:space="preserve">   Watch the income-versus-capital substance test: an earn-out tied to the seller's ongoing employment may be income.</t>
  </si>
  <si>
    <t>6. Relocation note: BADR is not available while you are non-resident. The temporary non-residence rule can tax</t>
  </si>
  <si>
    <t xml:space="preserve">   a non-resident-period disposal on your return unless you are non-resident for 5 complete tax years.</t>
  </si>
  <si>
    <t xml:space="preserve">   Take specialist advice before relocating.</t>
  </si>
  <si>
    <t>7. This model excludes the annual exempt amount (3,000) for simplicity. Apply it to your taxable gain before tax.</t>
  </si>
  <si>
    <t>8. Get specialist advice before an exit transaction. This model is a starting point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</si>
</sst>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"/>
    <numFmt numFmtId="165" formatCode="£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0f172a"/>
    </font>
    <font>
      <b/>
      <color rgb="FFFFFFFF"/>
      <sz val="10"/>
    </font>
    <font>
      <b/>
      <color rgb="FF4f46e5"/>
    </font>
    <font>
      <b/>
      <color rgb="FF0f172a"/>
    </font>
    <font>
      <i/>
      <color rgb="FF64748b"/>
      <sz val="10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0f172a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0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165" fontId="0" fillId="4" borderId="0" xfId="0" applyNumberFormat="1" applyFill="1" applyProtection="1">
      <protection locked="0"/>
    </xf>
    <xf numFmtId="0" fontId="4" fillId="4" borderId="0" xfId="0" applyFont="1" applyFill="1" applyProtection="1">
      <protection locked="0"/>
    </xf>
    <xf numFmtId="165" fontId="0" fillId="0" borderId="0" xfId="0" applyNumberFormat="1"/>
    <xf numFmtId="165" fontId="5" fillId="0" borderId="0" xfId="0" applyNumberFormat="1" applyFont="1"/>
    <xf numFmtId="165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5"/>
  <sheetFormatPr defaultRowHeight="15" outlineLevelRow="0" outlineLevelCol="0" x14ac:dyDescent="55"/>
  <cols>
    <col min="1" max="1" width="72" style="1" customWidth="1"/>
    <col min="2" max="2" width="18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0.14</v>
      </c>
    </row>
    <row r="3" spans="1:2" x14ac:dyDescent="0.25">
      <c r="A3" s="3" t="s">
        <v>2</v>
      </c>
      <c r="B3" s="4">
        <v>0.18</v>
      </c>
    </row>
    <row r="4" spans="1:2" x14ac:dyDescent="0.25">
      <c r="A4" s="3" t="s">
        <v>3</v>
      </c>
      <c r="B4" s="4">
        <v>0.24</v>
      </c>
    </row>
    <row r="5" spans="1:2" x14ac:dyDescent="0.25">
      <c r="A5" s="3" t="s">
        <v>4</v>
      </c>
      <c r="B5" s="5">
        <v>1000000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6"/>
  <sheetFormatPr defaultRowHeight="15" outlineLevelRow="0" outlineLevelCol="0" x14ac:dyDescent="55"/>
  <cols>
    <col min="1" max="1" width="80" customWidth="1"/>
  </cols>
  <sheetData>
    <row r="1" spans="1:1" x14ac:dyDescent="0.25">
      <c r="A1" s="6" t="s">
        <v>5</v>
      </c>
    </row>
    <row r="2" spans="1:1" x14ac:dyDescent="0.25">
      <c r="A2" s="7" t="s">
        <v>6</v>
      </c>
    </row>
    <row r="3" spans="1:1" x14ac:dyDescent="0.25">
      <c r="A3" s="7" t="s">
        <v>7</v>
      </c>
    </row>
    <row r="4" spans="1:1" x14ac:dyDescent="0.25">
      <c r="A4" s="7" t="s">
        <v>8</v>
      </c>
    </row>
    <row r="5" spans="1:1" x14ac:dyDescent="0.25">
      <c r="A5" s="7" t="s">
        <v>9</v>
      </c>
    </row>
    <row r="6" spans="1:1" x14ac:dyDescent="0.25">
      <c r="A6" s="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C16"/>
  <sheetFormatPr defaultRowHeight="15" outlineLevelRow="0" outlineLevelCol="0" x14ac:dyDescent="55"/>
  <cols>
    <col min="1" max="1" width="44" customWidth="1"/>
    <col min="2" max="3" width="18" customWidth="1"/>
  </cols>
  <sheetData>
    <row r="1" spans="1:3" x14ac:dyDescent="0.25">
      <c r="A1" s="6" t="s">
        <v>11</v>
      </c>
      <c r="B1" s="8" t="s">
        <v>12</v>
      </c>
      <c r="C1" s="8" t="s">
        <v>13</v>
      </c>
    </row>
    <row r="2" spans="1:2" x14ac:dyDescent="0.25">
      <c r="A2" s="7" t="s">
        <v>14</v>
      </c>
      <c r="B2" s="9">
        <v>750000</v>
      </c>
    </row>
    <row r="3" spans="1:2" x14ac:dyDescent="0.25">
      <c r="A3" s="7" t="s">
        <v>15</v>
      </c>
      <c r="B3" s="9">
        <v>50000</v>
      </c>
    </row>
    <row r="4" spans="1:2" x14ac:dyDescent="0.25">
      <c r="A4" s="7" t="s">
        <v>16</v>
      </c>
      <c r="B4" s="9">
        <v>0</v>
      </c>
    </row>
    <row r="5" spans="1:2" x14ac:dyDescent="0.25">
      <c r="A5" s="7" t="s">
        <v>17</v>
      </c>
      <c r="B5" s="10" t="s">
        <v>18</v>
      </c>
    </row>
    <row r="6" spans="1:3" x14ac:dyDescent="0.25">
      <c r="A6" s="6" t="s">
        <v>19</v>
      </c>
      <c r="B6" s="8" t="s">
        <v>12</v>
      </c>
      <c r="C6" s="8" t="s">
        <v>20</v>
      </c>
    </row>
    <row r="7" spans="1:3" x14ac:dyDescent="0.25">
      <c r="A7" s="7" t="s">
        <v>21</v>
      </c>
      <c r="B7" s="11">
        <f>MAX(0,In_Proceeds-In_Cost)</f>
      </c>
      <c r="C7" s="11">
        <f>MAX(0,In_Proceeds-In_Cost)</f>
      </c>
    </row>
    <row r="8" spans="1:3" x14ac:dyDescent="0.25">
      <c r="A8" s="7" t="s">
        <v>22</v>
      </c>
      <c r="B8" s="4">
        <f>IF(In_Year="2025/26",BADR_2025_26,BADR_2026_27)</f>
      </c>
      <c r="C8" t="s">
        <v>23</v>
      </c>
    </row>
    <row r="9" spans="1:3" x14ac:dyDescent="0.25">
      <c r="A9" s="7" t="s">
        <v>24</v>
      </c>
      <c r="B9" s="11">
        <f>MIN(Gain_BADR,MAX(0,LIFETIME_LIMIT-In_PrevBadr))</f>
      </c>
      <c r="C9" s="11">
        <v>0</v>
      </c>
    </row>
    <row r="10" spans="1:3" x14ac:dyDescent="0.25">
      <c r="A10" s="7" t="s">
        <v>25</v>
      </c>
      <c r="B10" s="11">
        <f>MAX(0,Gain_BADR-EligibleSlice)</f>
      </c>
      <c r="C10" s="11">
        <f>Gain_Std</f>
      </c>
    </row>
    <row r="11" spans="1:3" x14ac:dyDescent="0.25">
      <c r="A11" s="7" t="s">
        <v>26</v>
      </c>
      <c r="B11" s="11">
        <f>EligibleSlice*In_BadrRate</f>
      </c>
      <c r="C11" s="11">
        <v>0</v>
      </c>
    </row>
    <row r="12" spans="1:3" x14ac:dyDescent="0.25">
      <c r="A12" s="7" t="s">
        <v>27</v>
      </c>
      <c r="B12" s="11">
        <f>OverflowSlice*STD_CGT</f>
      </c>
      <c r="C12" s="11">
        <f>Gain_Std*STD_CGT</f>
      </c>
    </row>
    <row r="13" spans="1:3" x14ac:dyDescent="0.25">
      <c r="A13" s="7" t="s">
        <v>28</v>
      </c>
      <c r="B13" s="12">
        <f>BadrTax+StdTax_BADR</f>
      </c>
      <c r="C13" s="12">
        <f>StdTax_NoBADR</f>
      </c>
    </row>
    <row r="14" spans="1:3" x14ac:dyDescent="0.25">
      <c r="A14" s="7" t="s">
        <v>29</v>
      </c>
      <c r="B14" s="13">
        <f>In_Proceeds-TotalTax_BADR</f>
      </c>
      <c r="C14" s="13">
        <f>In_Proceeds-TotalTax_Std</f>
      </c>
    </row>
    <row r="15" spans="1:3" x14ac:dyDescent="0.25">
      <c r="A15" s="7" t="s">
        <v>30</v>
      </c>
      <c r="B15" s="4">
        <f>IF(Gain_BADR&gt;0,TotalTax_BADR/Gain_BADR,0)</f>
      </c>
      <c r="C15" s="4">
        <f>IF(Gain_Std&gt;0,TotalTax_Std/Gain_Std,0)</f>
      </c>
    </row>
    <row r="16" spans="1:3" x14ac:dyDescent="0.25">
      <c r="A16" s="7" t="s">
        <v>31</v>
      </c>
      <c r="B16">
        <f>IF(ABS(NetProceeds_BADR-(In_Proceeds-TotalTax_BADR))&lt;0.01,"OK","CHECK")</f>
      </c>
      <c r="C16">
        <f>IF(ABS(NetProceeds_Std-(In_Proceeds-TotalTax_Std))&lt;0.01,"OK","CHECK")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4"/>
  <sheetFormatPr defaultRowHeight="15" outlineLevelRow="0" outlineLevelCol="0" x14ac:dyDescent="55"/>
  <cols>
    <col min="1" max="1" width="90" customWidth="1"/>
  </cols>
  <sheetData>
    <row r="1" spans="1:1" x14ac:dyDescent="0.25">
      <c r="A1" s="6" t="s">
        <v>32</v>
      </c>
    </row>
    <row r="2" spans="1:1" x14ac:dyDescent="0.25">
      <c r="A2" s="14" t="s">
        <v>33</v>
      </c>
    </row>
    <row r="3" spans="1:1" x14ac:dyDescent="0.25">
      <c r="A3" s="14" t="s">
        <v>34</v>
      </c>
    </row>
    <row r="4" spans="1:1" x14ac:dyDescent="0.25">
      <c r="A4" s="14" t="s">
        <v>35</v>
      </c>
    </row>
    <row r="5" spans="1:1" x14ac:dyDescent="0.25">
      <c r="A5" s="14" t="s">
        <v>36</v>
      </c>
    </row>
    <row r="6" spans="1:1" x14ac:dyDescent="0.25">
      <c r="A6" s="14" t="s">
        <v>37</v>
      </c>
    </row>
    <row r="7" spans="1:1" x14ac:dyDescent="0.25">
      <c r="A7" s="14" t="s">
        <v>38</v>
      </c>
    </row>
    <row r="8" spans="1:1" x14ac:dyDescent="0.25">
      <c r="A8" s="14" t="s">
        <v>39</v>
      </c>
    </row>
    <row r="9" spans="1:1" x14ac:dyDescent="0.25">
      <c r="A9" s="14" t="s">
        <v>40</v>
      </c>
    </row>
    <row r="10" spans="1:1" x14ac:dyDescent="0.25">
      <c r="A10" s="14" t="s">
        <v>41</v>
      </c>
    </row>
    <row r="11" spans="1:1" x14ac:dyDescent="0.25">
      <c r="A11" s="14" t="s">
        <v>42</v>
      </c>
    </row>
    <row r="12" spans="1:1" x14ac:dyDescent="0.25">
      <c r="A12" s="14" t="s">
        <v>43</v>
      </c>
    </row>
    <row r="13" spans="1:1" x14ac:dyDescent="0.25">
      <c r="A13" s="14" t="s">
        <v>44</v>
      </c>
    </row>
    <row r="14" spans="1:1" x14ac:dyDescent="0.25">
      <c r="A14" s="1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Start here</vt:lpstr>
      <vt:lpstr>Your figures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Agency Founder Finance</dc:creator>
  <dc:title/>
  <dc:subject/>
  <dc:description/>
  <cp:keywords/>
  <cp:category/>
  <cp:lastModifiedBy>Agency Founder Finance</cp:lastModifiedBy>
  <dcterms:created xsi:type="dcterms:W3CDTF">2024-01-01T00:00:00Z</dcterms:created>
  <dcterms:modified xsi:type="dcterms:W3CDTF">2024-01-01T00:00:00Z</dcterms:modified>
</cp:coreProperties>
</file>