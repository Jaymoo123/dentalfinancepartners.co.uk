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es" state="visible" r:id="rId4"/>
    <sheet sheetId="2" name="Start here" state="visible" r:id="rId5"/>
    <sheet sheetId="3" name="Your figures" state="visible" r:id="rId6"/>
    <sheet sheetId="4" name="Notes" state="visible" r:id="rId7"/>
  </sheets>
  <definedNames>
    <definedName name="PA">Rates!$B$2</definedName>
    <definedName name="BRL">Rates!$B$3</definedName>
    <definedName name="HRL">Rates!$B$4</definedName>
    <definedName name="NI_SEC">Rates!$B$5</definedName>
    <definedName name="NI_PRI">Rates!$B$6</definedName>
    <definedName name="UEL">Rates!$B$7</definedName>
    <definedName name="EMP_NI">Rates!$B$8</definedName>
    <definedName name="EMP_NI_BASIC">Rates!$B$9</definedName>
    <definedName name="EMP_NI_UPR">Rates!$B$10</definedName>
    <definedName name="INC_BASIC">Rates!$B$11</definedName>
    <definedName name="INC_HIGHER">Rates!$B$12</definedName>
    <definedName name="INC_ADDL">Rates!$B$13</definedName>
    <definedName name="DIV_ALLOWANCE">Rates!$B$14</definedName>
    <definedName name="DIV_BASIC">Rates!$B$15</definedName>
    <definedName name="DIV_HIGHER">Rates!$B$16</definedName>
    <definedName name="DIV_ADDL">Rates!$B$17</definedName>
    <definedName name="CT_SMALL">Rates!$B$18</definedName>
    <definedName name="CT_MAIN_LIM">Rates!$B$19</definedName>
    <definedName name="CT_SMALL_RATE">Rates!$B$20</definedName>
    <definedName name="CT_MARG">Rates!$B$21</definedName>
    <definedName name="CT_MAIN_RATE">Rates!$B$22</definedName>
    <definedName name="EA">Rates!$B$23</definedName>
    <definedName name="In_Profit">'Your figures'!$B$2</definedName>
    <definedName name="In_Salary">'Your figures'!$B$3</definedName>
    <definedName name="In_UseEA">'Your figures'!$B$4</definedName>
    <definedName name="EmployerNi">'Your figures'!$B$6</definedName>
    <definedName name="ProfitAfterPayroll">'Your figures'!$B$7</definedName>
    <definedName name="CorporationTax">'Your figures'!$B$8</definedName>
    <definedName name="Dividend">'Your figures'!$B$9</definedName>
    <definedName name="EmployeeNi">'Your figures'!$B$10</definedName>
    <definedName name="IncomeTax">'Your figures'!$B$11</definedName>
    <definedName name="DividendTax">'Your figures'!$B$12</definedName>
    <definedName name="TotalTax">'Your figures'!$B$13</definedName>
    <definedName name="NetCash">'Your figures'!$B$14</definedName>
    <definedName name="ConservationCheck">'Your figures'!$B$15</definedName>
  </definedNames>
  <calcPr calcId="171027"/>
</workbook>
</file>

<file path=xl/sharedStrings.xml><?xml version="1.0" encoding="utf-8"?>
<sst xmlns="http://schemas.openxmlformats.org/spreadsheetml/2006/main" count="57" uniqueCount="57">
  <si>
    <t>Locked rates: do not edit (2025/26 income tax / NI; 2026/27 dividend rates FA 2026 s.4)</t>
  </si>
  <si>
    <t>Income tax: personal allowance: 2025/26</t>
  </si>
  <si>
    <t>Income tax: basic rate upper limit: 2025/26</t>
  </si>
  <si>
    <t>Income tax: higher rate upper limit: 2025/26</t>
  </si>
  <si>
    <t>Employer NI: secondary threshold (GBP): from 6 April 2025</t>
  </si>
  <si>
    <t>Employee NI: primary threshold (GBP): 2025/26</t>
  </si>
  <si>
    <t>Employee NI: upper earnings limit (GBP): 2025/26</t>
  </si>
  <si>
    <t>Employer NI rate 15%: from 6 April 2025</t>
  </si>
  <si>
    <t>Employee NI basic rate 8%: 2025/26</t>
  </si>
  <si>
    <t>Employee NI upper rate 2%: 2025/26</t>
  </si>
  <si>
    <t>Income tax basic rate 20%: 2025/26</t>
  </si>
  <si>
    <t>Income tax higher rate 40%: 2025/26</t>
  </si>
  <si>
    <t>Income tax additional rate 45%: 2025/26</t>
  </si>
  <si>
    <t>Dividend allowance (GBP): from 6 April 2026 (FA 2026 s.4)</t>
  </si>
  <si>
    <t>Dividend tax basic rate 10.75%: from 6 April 2026 (FA 2026 s.4)</t>
  </si>
  <si>
    <t>Dividend tax higher rate 35.75%: from 6 April 2026 (FA 2026 s.4)</t>
  </si>
  <si>
    <t>Dividend tax additional rate 39.35%: from 6 April 2026 (FA 2026 s.4)</t>
  </si>
  <si>
    <t>Corporation tax small profits threshold (GBP): 2024+</t>
  </si>
  <si>
    <t>Corporation tax main rate threshold (GBP): 2024+</t>
  </si>
  <si>
    <t>Corporation tax small profits rate 19%: 2024+</t>
  </si>
  <si>
    <t>Corporation tax marginal rate 26.5% (between 50k-250k): 2024+</t>
  </si>
  <si>
    <t>Corporation tax main rate 25%: 2024+</t>
  </si>
  <si>
    <t>Employment Allowance (GBP): 2025/26 (single-director: see Notes)</t>
  </si>
  <si>
    <t>Agency Founder Finance - Salary and dividend planner 2026/27</t>
  </si>
  <si>
    <t>Edit the blue cells on the Your figures sheet. All computed rows recalculate automatically.</t>
  </si>
  <si>
    <t>The Rates sheet is locked. Do not edit it directly.</t>
  </si>
  <si>
    <t>This model is a starting point. Your actual position depends on your circumstances. Take specialist advice.</t>
  </si>
  <si>
    <t>Dividend rates: 10.75% / 35.75% / 39.35% from 6 April 2026 (FA 2026 s.4, 2026/27).</t>
  </si>
  <si>
    <t>Employer NIC: 15% above the 5,000 secondary threshold from 6 April 2025.</t>
  </si>
  <si>
    <t>Employment Allowance: 10,500 per year, but NOT available when the only employee is a single director.</t>
  </si>
  <si>
    <t>Your figures (edit the blue cells)</t>
  </si>
  <si>
    <t>Profit before director cost (GBP)</t>
  </si>
  <si>
    <t>Director salary (GBP)</t>
  </si>
  <si>
    <t>Use Employment Allowance? (Yes/No - see Notes)</t>
  </si>
  <si>
    <t>No</t>
  </si>
  <si>
    <t>Computed extraction (2026/27 rates)</t>
  </si>
  <si>
    <t>Employer NI (GBP)</t>
  </si>
  <si>
    <t>Profit after payroll (GBP)</t>
  </si>
  <si>
    <t>Corporation tax (GBP)</t>
  </si>
  <si>
    <t>Dividend (distributable profit, GBP)</t>
  </si>
  <si>
    <t>Employee NI (GBP)</t>
  </si>
  <si>
    <t>Income tax on salary (GBP)</t>
  </si>
  <si>
    <t>Dividend tax (GBP)</t>
  </si>
  <si>
    <t>Total tax (GBP)</t>
  </si>
  <si>
    <t>Net cash to director (GBP)</t>
  </si>
  <si>
    <t>Conservation check (must be OK)</t>
  </si>
  <si>
    <t>Notes: Agency Founder Finance salary and dividend planner 2026/27</t>
  </si>
  <si>
    <t>1. This model is a simplified illustration. Your actual tax position depends on your specific circumstances.</t>
  </si>
  <si>
    <t>2. Dividend rates (10.75% / 35.75% / 39.35%) apply from 6 April 2026 (Finance Act 2026 s.4, 2026/27).</t>
  </si>
  <si>
    <t>3. Employer NIC is 15% above the 5,000 secondary threshold from 6 April 2025 (NOT the old 13.8% / 9,100 threshold).</t>
  </si>
  <si>
    <t>4. Employment Allowance (10,500): NOT available when the only employee is a single director.</t>
  </si>
  <si>
    <t xml:space="preserve">   Most solo founder-director agencies cannot claim the EA and often set salary at 5,000 (secondary threshold).</t>
  </si>
  <si>
    <t xml:space="preserve">   An agency with a genuinely employed non-director can lift salary to 12,570 with the EA and still pay no employer NI.</t>
  </si>
  <si>
    <t>5. There is no single universal optimal salary. The model shows the extraction at your chosen salary.</t>
  </si>
  <si>
    <t>6. Corporation tax uses the 2024+ banded rates: 19% (profits to 50,000), marginal 26.5% (50,000 to 250,000), 25% (above 250,000).</t>
  </si>
  <si>
    <t>7. Income tax: personal allowance 12,570. Tapers by 1 for every 2 above 100,000 (fully withdrawn at 125,140).</t>
  </si>
  <si>
    <t>8. Get specialist advice before making decisions based on this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</si>
</sst>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###"/>
    <numFmt numFmtId="165" formatCode="£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0f172a"/>
    </font>
    <font>
      <b/>
      <color rgb="FF4f46e5"/>
    </font>
    <font>
      <b/>
      <color rgb="FF0f172a"/>
    </font>
    <font>
      <i/>
      <color rgb="FF64748b"/>
      <sz val="10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vertical="center"/>
    </xf>
    <xf numFmtId="0" fontId="2" fillId="0" borderId="0" xfId="0" applyFont="1"/>
    <xf numFmtId="165" fontId="0" fillId="3" borderId="0" xfId="0" applyNumberFormat="1" applyFill="1" applyProtection="1">
      <protection locked="0"/>
    </xf>
    <xf numFmtId="0" fontId="3" fillId="3" borderId="0" xfId="0" applyFont="1" applyFill="1" applyProtection="1">
      <protection locked="0"/>
    </xf>
    <xf numFmtId="165" fontId="0" fillId="0" borderId="0" xfId="0" applyNumberFormat="1"/>
    <xf numFmtId="165" fontId="4" fillId="0" borderId="0" xfId="0" applyNumberFormat="1" applyFont="1"/>
    <xf numFmtId="165" fontId="3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B23"/>
  <sheetFormatPr defaultRowHeight="15" outlineLevelRow="0" outlineLevelCol="0" x14ac:dyDescent="55"/>
  <cols>
    <col min="1" max="1" width="72" style="1" customWidth="1"/>
    <col min="2" max="2" width="18" customWidth="1"/>
  </cols>
  <sheetData>
    <row r="1" spans="1:2" x14ac:dyDescent="0.25">
      <c r="A1" s="2" t="s">
        <v>0</v>
      </c>
      <c r="B1" s="2"/>
    </row>
    <row r="2" spans="1:2" x14ac:dyDescent="0.25">
      <c r="A2" s="3" t="s">
        <v>1</v>
      </c>
      <c r="B2" s="4">
        <v>12570</v>
      </c>
    </row>
    <row r="3" spans="1:2" x14ac:dyDescent="0.25">
      <c r="A3" s="3" t="s">
        <v>2</v>
      </c>
      <c r="B3" s="4">
        <v>50270</v>
      </c>
    </row>
    <row r="4" spans="1:2" x14ac:dyDescent="0.25">
      <c r="A4" s="3" t="s">
        <v>3</v>
      </c>
      <c r="B4" s="4">
        <v>125140</v>
      </c>
    </row>
    <row r="5" spans="1:2" x14ac:dyDescent="0.25">
      <c r="A5" s="3" t="s">
        <v>4</v>
      </c>
      <c r="B5" s="4">
        <v>5000</v>
      </c>
    </row>
    <row r="6" spans="1:2" x14ac:dyDescent="0.25">
      <c r="A6" s="3" t="s">
        <v>5</v>
      </c>
      <c r="B6" s="4">
        <v>12570</v>
      </c>
    </row>
    <row r="7" spans="1:2" x14ac:dyDescent="0.25">
      <c r="A7" s="3" t="s">
        <v>6</v>
      </c>
      <c r="B7" s="4">
        <v>50270</v>
      </c>
    </row>
    <row r="8" spans="1:2" x14ac:dyDescent="0.25">
      <c r="A8" s="3" t="s">
        <v>7</v>
      </c>
      <c r="B8" s="5">
        <v>0.15</v>
      </c>
    </row>
    <row r="9" spans="1:2" x14ac:dyDescent="0.25">
      <c r="A9" s="3" t="s">
        <v>8</v>
      </c>
      <c r="B9" s="5">
        <v>0.08</v>
      </c>
    </row>
    <row r="10" spans="1:2" x14ac:dyDescent="0.25">
      <c r="A10" s="3" t="s">
        <v>9</v>
      </c>
      <c r="B10" s="5">
        <v>0.02</v>
      </c>
    </row>
    <row r="11" spans="1:2" x14ac:dyDescent="0.25">
      <c r="A11" s="3" t="s">
        <v>10</v>
      </c>
      <c r="B11" s="5">
        <v>0.2</v>
      </c>
    </row>
    <row r="12" spans="1:2" x14ac:dyDescent="0.25">
      <c r="A12" s="3" t="s">
        <v>11</v>
      </c>
      <c r="B12" s="5">
        <v>0.4</v>
      </c>
    </row>
    <row r="13" spans="1:2" x14ac:dyDescent="0.25">
      <c r="A13" s="3" t="s">
        <v>12</v>
      </c>
      <c r="B13" s="5">
        <v>0.45</v>
      </c>
    </row>
    <row r="14" spans="1:2" x14ac:dyDescent="0.25">
      <c r="A14" s="3" t="s">
        <v>13</v>
      </c>
      <c r="B14" s="4">
        <v>500</v>
      </c>
    </row>
    <row r="15" spans="1:2" x14ac:dyDescent="0.25">
      <c r="A15" s="3" t="s">
        <v>14</v>
      </c>
      <c r="B15" s="5">
        <v>0.1075</v>
      </c>
    </row>
    <row r="16" spans="1:2" x14ac:dyDescent="0.25">
      <c r="A16" s="3" t="s">
        <v>15</v>
      </c>
      <c r="B16" s="5">
        <v>0.3575</v>
      </c>
    </row>
    <row r="17" spans="1:2" x14ac:dyDescent="0.25">
      <c r="A17" s="3" t="s">
        <v>16</v>
      </c>
      <c r="B17" s="5">
        <v>0.3935</v>
      </c>
    </row>
    <row r="18" spans="1:2" x14ac:dyDescent="0.25">
      <c r="A18" s="3" t="s">
        <v>17</v>
      </c>
      <c r="B18" s="4">
        <v>50000</v>
      </c>
    </row>
    <row r="19" spans="1:2" x14ac:dyDescent="0.25">
      <c r="A19" s="3" t="s">
        <v>18</v>
      </c>
      <c r="B19" s="4">
        <v>250000</v>
      </c>
    </row>
    <row r="20" spans="1:2" x14ac:dyDescent="0.25">
      <c r="A20" s="3" t="s">
        <v>19</v>
      </c>
      <c r="B20" s="5">
        <v>0.19</v>
      </c>
    </row>
    <row r="21" spans="1:2" x14ac:dyDescent="0.25">
      <c r="A21" s="3" t="s">
        <v>20</v>
      </c>
      <c r="B21" s="5">
        <v>0.265</v>
      </c>
    </row>
    <row r="22" spans="1:2" x14ac:dyDescent="0.25">
      <c r="A22" s="3" t="s">
        <v>21</v>
      </c>
      <c r="B22" s="5">
        <v>0.25</v>
      </c>
    </row>
    <row r="23" spans="1:2" x14ac:dyDescent="0.25">
      <c r="A23" s="3" t="s">
        <v>22</v>
      </c>
      <c r="B23" s="4">
        <v>10500</v>
      </c>
    </row>
  </sheetData>
  <sheetProtection sheet="1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A7"/>
  <sheetFormatPr defaultRowHeight="15" outlineLevelRow="0" outlineLevelCol="0" x14ac:dyDescent="55"/>
  <cols>
    <col min="1" max="1" width="80" customWidth="1"/>
  </cols>
  <sheetData>
    <row r="1" spans="1:1" x14ac:dyDescent="0.25">
      <c r="A1" s="6" t="s">
        <v>23</v>
      </c>
    </row>
    <row r="2" spans="1:1" x14ac:dyDescent="0.25">
      <c r="A2" s="7" t="s">
        <v>24</v>
      </c>
    </row>
    <row r="3" spans="1:1" x14ac:dyDescent="0.25">
      <c r="A3" s="7" t="s">
        <v>25</v>
      </c>
    </row>
    <row r="4" spans="1:1" x14ac:dyDescent="0.25">
      <c r="A4" s="7" t="s">
        <v>26</v>
      </c>
    </row>
    <row r="5" spans="1:1" x14ac:dyDescent="0.25">
      <c r="A5" s="7" t="s">
        <v>27</v>
      </c>
    </row>
    <row r="6" spans="1:1" x14ac:dyDescent="0.25">
      <c r="A6" s="7" t="s">
        <v>28</v>
      </c>
    </row>
    <row r="7" spans="1:1" x14ac:dyDescent="0.25">
      <c r="A7" s="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B15"/>
  <sheetFormatPr defaultRowHeight="15" outlineLevelRow="0" outlineLevelCol="0" x14ac:dyDescent="55"/>
  <cols>
    <col min="1" max="1" width="48" customWidth="1"/>
    <col min="2" max="2" width="18" customWidth="1"/>
  </cols>
  <sheetData>
    <row r="1" spans="1:2" x14ac:dyDescent="0.25">
      <c r="A1" s="6" t="s">
        <v>30</v>
      </c>
      <c r="B1" s="6"/>
    </row>
    <row r="2" spans="1:2" x14ac:dyDescent="0.25">
      <c r="A2" s="7" t="s">
        <v>31</v>
      </c>
      <c r="B2" s="8">
        <v>120000</v>
      </c>
    </row>
    <row r="3" spans="1:2" x14ac:dyDescent="0.25">
      <c r="A3" s="7" t="s">
        <v>32</v>
      </c>
      <c r="B3" s="8">
        <v>12570</v>
      </c>
    </row>
    <row r="4" spans="1:2" x14ac:dyDescent="0.25">
      <c r="A4" s="7" t="s">
        <v>33</v>
      </c>
      <c r="B4" s="9" t="s">
        <v>34</v>
      </c>
    </row>
    <row r="5" spans="1:2" x14ac:dyDescent="0.25">
      <c r="A5" s="6" t="s">
        <v>35</v>
      </c>
      <c r="B5" s="6"/>
    </row>
    <row r="6" spans="1:2" x14ac:dyDescent="0.25">
      <c r="A6" s="7" t="s">
        <v>36</v>
      </c>
      <c r="B6" s="10">
        <f>IF(In_Salary&lt;=NI_SEC,0,MAX(0,(In_Salary-NI_SEC)*EMP_NI-IF(UPPER(In_UseEA)="YES",EA,0)))</f>
      </c>
    </row>
    <row r="7" spans="1:2" x14ac:dyDescent="0.25">
      <c r="A7" s="7" t="s">
        <v>37</v>
      </c>
      <c r="B7" s="10">
        <f>MAX(0,In_Profit-In_Salary-EmployerNi)</f>
      </c>
    </row>
    <row r="8" spans="1:2" x14ac:dyDescent="0.25">
      <c r="A8" s="7" t="s">
        <v>38</v>
      </c>
      <c r="B8" s="10">
        <f>IF(ProfitAfterPayroll&lt;=0,0,IF(ProfitAfterPayroll&lt;=CT_SMALL,ProfitAfterPayroll*CT_SMALL_RATE,IF(ProfitAfterPayroll&gt;=CT_MAIN_LIM,ProfitAfterPayroll*CT_MAIN_RATE,CT_SMALL*CT_SMALL_RATE+(ProfitAfterPayroll-CT_SMALL)*CT_MARG)))</f>
      </c>
    </row>
    <row r="9" spans="1:2" x14ac:dyDescent="0.25">
      <c r="A9" s="7" t="s">
        <v>39</v>
      </c>
      <c r="B9" s="10">
        <f>MAX(0,ProfitAfterPayroll-CorporationTax)</f>
      </c>
    </row>
    <row r="10" spans="1:2" x14ac:dyDescent="0.25">
      <c r="A10" s="7" t="s">
        <v>40</v>
      </c>
      <c r="B10" s="10">
        <f>IF(In_Salary&lt;=NI_PRI,0,MIN(In_Salary,UEL)*EMP_NI_BASIC-NI_PRI*EMP_NI_BASIC+MAX(0,In_Salary-UEL)*EMP_NI_UPR)</f>
      </c>
    </row>
    <row r="11" spans="1:2" x14ac:dyDescent="0.25">
      <c r="A11" s="7" t="s">
        <v>41</v>
      </c>
      <c r="B11" s="10">
        <f>IF(In_Salary&lt;=0,0,MAX(0,MIN(In_Salary,BRL)-MAX(PA,PA-MAX(0,(In_Salary-100000)/2)))*INC_BASIC+MAX(0,MIN(In_Salary,HRL)-MAX(BRL,MAX(PA,PA-MAX(0,(In_Salary-100000)/2))))*INC_HIGHER+MAX(0,In_Salary-HRL)*INC_ADDL)</f>
      </c>
    </row>
    <row r="12" spans="1:2" x14ac:dyDescent="0.25">
      <c r="A12" s="7" t="s">
        <v>42</v>
      </c>
      <c r="B12" s="10">
        <f>IF(Dividend&lt;=0,0,MAX(0,MIN(Dividend,MAX(0,BRL-PA-MAX(0,In_Salary-PA))-DIV_ALLOWANCE))*DIV_BASIC+MAX(0,MIN(Dividend-MAX(0,BRL-PA-MAX(0,In_Salary-PA))+DIV_ALLOWANCE,MAX(0,HRL-BRL-MAX(0,In_Salary-BRL))))*DIV_HIGHER+MAX(0,Dividend-MAX(0,BRL-PA-MAX(0,In_Salary-PA))+DIV_ALLOWANCE-MAX(0,HRL-BRL-MAX(0,In_Salary-BRL)))*DIV_ADDL)</f>
      </c>
    </row>
    <row r="13" spans="1:2" x14ac:dyDescent="0.25">
      <c r="A13" s="7" t="s">
        <v>43</v>
      </c>
      <c r="B13" s="11">
        <f>EmployerNi+CorporationTax+EmployeeNi+IncomeTax+DividendTax</f>
      </c>
    </row>
    <row r="14" spans="1:2" x14ac:dyDescent="0.25">
      <c r="A14" s="7" t="s">
        <v>44</v>
      </c>
      <c r="B14" s="12">
        <f>In_Salary-EmployeeNi-IncomeTax+Dividend-DividendTax</f>
      </c>
    </row>
    <row r="15" spans="1:2" x14ac:dyDescent="0.25">
      <c r="A15" s="7" t="s">
        <v>45</v>
      </c>
      <c r="B15">
        <f>IF(ABS(NetCash-(In_Salary-EmployeeNi-IncomeTax+Dividend-DividendTax))&lt;0.01,"OK","CHECK")</f>
      </c>
    </row>
  </sheetData>
  <mergeCells count="2">
    <mergeCell ref="A1:B1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A11"/>
  <sheetFormatPr defaultRowHeight="15" outlineLevelRow="0" outlineLevelCol="0" x14ac:dyDescent="55"/>
  <cols>
    <col min="1" max="1" width="90" customWidth="1"/>
  </cols>
  <sheetData>
    <row r="1" spans="1:1" x14ac:dyDescent="0.25">
      <c r="A1" s="6" t="s">
        <v>46</v>
      </c>
    </row>
    <row r="2" spans="1:1" x14ac:dyDescent="0.25">
      <c r="A2" s="13" t="s">
        <v>47</v>
      </c>
    </row>
    <row r="3" spans="1:1" x14ac:dyDescent="0.25">
      <c r="A3" s="13" t="s">
        <v>48</v>
      </c>
    </row>
    <row r="4" spans="1:1" x14ac:dyDescent="0.25">
      <c r="A4" s="13" t="s">
        <v>49</v>
      </c>
    </row>
    <row r="5" spans="1:1" x14ac:dyDescent="0.25">
      <c r="A5" s="13" t="s">
        <v>50</v>
      </c>
    </row>
    <row r="6" spans="1:1" x14ac:dyDescent="0.25">
      <c r="A6" s="13" t="s">
        <v>51</v>
      </c>
    </row>
    <row r="7" spans="1:1" x14ac:dyDescent="0.25">
      <c r="A7" s="13" t="s">
        <v>52</v>
      </c>
    </row>
    <row r="8" spans="1:1" x14ac:dyDescent="0.25">
      <c r="A8" s="13" t="s">
        <v>53</v>
      </c>
    </row>
    <row r="9" spans="1:1" x14ac:dyDescent="0.25">
      <c r="A9" s="13" t="s">
        <v>54</v>
      </c>
    </row>
    <row r="10" spans="1:1" x14ac:dyDescent="0.25">
      <c r="A10" s="13" t="s">
        <v>55</v>
      </c>
    </row>
    <row r="11" spans="1:1" x14ac:dyDescent="0.25">
      <c r="A11" s="1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Rates</vt:lpstr>
      <vt:lpstr>Start here</vt:lpstr>
      <vt:lpstr>Your figures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Agency Founder Finance</dc:creator>
  <dc:title/>
  <dc:subject/>
  <dc:description/>
  <cp:keywords/>
  <cp:category/>
  <cp:lastModifiedBy>Agency Founder Finance</cp:lastModifiedBy>
  <dcterms:created xsi:type="dcterms:W3CDTF">2024-01-01T00:00:00Z</dcterms:created>
  <dcterms:modified xsi:type="dcterms:W3CDTF">2024-01-01T00:00:00Z</dcterms:modified>
</cp:coreProperties>
</file>