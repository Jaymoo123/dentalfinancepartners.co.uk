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es" state="visible" r:id="rId4"/>
    <sheet sheetId="2" name="Start here" state="visible" r:id="rId5"/>
    <sheet sheetId="3" name="Your figures" state="visible" r:id="rId6"/>
    <sheet sheetId="4" name="Notes" state="visible" r:id="rId7"/>
  </sheets>
  <definedNames>
    <definedName name="STD_VAT">Rates!$B$2</definedName>
    <definedName name="FRS_NORMAL">Rates!$B$3</definedName>
    <definedName name="FRS_LCT">Rates!$B$4</definedName>
    <definedName name="LCT_GBP">Rates!$B$5</definedName>
    <definedName name="LCT_PCT">Rates!$B$6</definedName>
    <definedName name="In_Turnover">'Your figures'!$B$2</definedName>
    <definedName name="In_VatInputs">'Your figures'!$B$3</definedName>
    <definedName name="In_GoodsSpend">'Your figures'!$B$4</definedName>
    <definedName name="VatCollected">'Your figures'!$B$6</definedName>
    <definedName name="GrossInclusive">'Your figures'!$B$7</definedName>
    <definedName name="LctFlag">'Your figures'!$B$8</definedName>
    <definedName name="In_FlatRate">'Your figures'!$C$9</definedName>
    <definedName name="StandardNet">'Your figures'!$B$10</definedName>
    <definedName name="FlatPayment">'Your figures'!$C$10</definedName>
    <definedName name="BestScheme">'Your figures'!$B$11</definedName>
    <definedName name="Saving">'Your figures'!$B$12</definedName>
  </definedNames>
  <calcPr calcId="171027"/>
</workbook>
</file>

<file path=xl/sharedStrings.xml><?xml version="1.0" encoding="utf-8"?>
<sst xmlns="http://schemas.openxmlformats.org/spreadsheetml/2006/main" count="45" uniqueCount="45">
  <si>
    <t>Locked rates: do not edit</t>
  </si>
  <si>
    <t>Standard VAT rate 20%</t>
  </si>
  <si>
    <t>Flat Rate Scheme rate 12.5% (marketing agency, non-LCT)</t>
  </si>
  <si>
    <t>Flat Rate Scheme rate 16.5% (limited-cost trader)</t>
  </si>
  <si>
    <t>LCT goods threshold (GBP per year): goods must exceed this OR 2% test</t>
  </si>
  <si>
    <t>LCT goods threshold (% of VAT-inclusive turnover): 2%</t>
  </si>
  <si>
    <t>Agency Founder Finance - VAT scheme comparison model</t>
  </si>
  <si>
    <t>Edit the blue cells on the Your figures sheet. The standard vs flat rate comparison recalculates automatically.</t>
  </si>
  <si>
    <t>Most agencies are limited-cost traders (LCT): goods under 2% of VAT-inclusive turnover or under 1,000 a year.</t>
  </si>
  <si>
    <t>LCT agencies pay 16.5% of VAT-inclusive turnover under the Flat Rate Scheme, which usually beats reclaiming input VAT.</t>
  </si>
  <si>
    <t>VAT registration: register when taxable turnover exceeds 90,000 in any rolling 12 months. Deregister below 88,000.</t>
  </si>
  <si>
    <t>MTD for VAT: mandatory for all VAT-registered businesses since April 2022.</t>
  </si>
  <si>
    <t>This model is a starting point. Take specialist advice on your VAT position.</t>
  </si>
  <si>
    <t>Your figures (edit the blue cells)</t>
  </si>
  <si>
    <t>Standard scheme</t>
  </si>
  <si>
    <t>Flat Rate scheme</t>
  </si>
  <si>
    <t>Turnover ex-VAT (GBP)</t>
  </si>
  <si>
    <t>Input VAT claimable (GBP, standard scheme)</t>
  </si>
  <si>
    <t>Annual goods spend (GBP, for LCT test)</t>
  </si>
  <si>
    <t>Computed</t>
  </si>
  <si>
    <t>Standard</t>
  </si>
  <si>
    <t>Flat Rate</t>
  </si>
  <si>
    <t>VAT collected (GBP)</t>
  </si>
  <si>
    <t>VAT-inclusive gross turnover (GBP)</t>
  </si>
  <si>
    <t>Limited-cost trader (LCT)?</t>
  </si>
  <si>
    <t>Flat Rate Scheme rate</t>
  </si>
  <si>
    <t>n/a</t>
  </si>
  <si>
    <t>Net VAT to HMRC (GBP)</t>
  </si>
  <si>
    <t>Best scheme</t>
  </si>
  <si>
    <t>Annual saving vs the other scheme (GBP)</t>
  </si>
  <si>
    <t>Conservation note</t>
  </si>
  <si>
    <t>Standard: you collect VAT and reclaim inputs.</t>
  </si>
  <si>
    <t>Flat Rate: you keep the difference between collected VAT and your flat payment.</t>
  </si>
  <si>
    <t>Notes: Agency Founder Finance VAT scheme comparison model</t>
  </si>
  <si>
    <t>1. Agency services are standard-rated at 20%. Register when taxable turnover exceeds 90,000 in any rolling 12 months.</t>
  </si>
  <si>
    <t>2. Deregister when taxable turnover falls below 88,000. The old 85,000 threshold no longer applies.</t>
  </si>
  <si>
    <t>3. MTD for VAT: mandatory for all VAT-registered businesses since April 2022.</t>
  </si>
  <si>
    <t>4. Limited-cost trader (LCT) test: goods spend is less than both 1,000 a year AND 2% of VAT-inclusive turnover.</t>
  </si>
  <si>
    <t xml:space="preserve">   Agencies are overwhelmingly labour-and-software businesses and are nearly always LCT.</t>
  </si>
  <si>
    <t>5. LCT rate: 16.5% of VAT-inclusive gross turnover. This often makes the Flat Rate Scheme worse than the standard scheme.</t>
  </si>
  <si>
    <t>6. Non-LCT rate for marketing agencies: 12.5% of VAT-inclusive gross turnover.</t>
  </si>
  <si>
    <t>7. First-year FRS discount: 1% reduction in the applicable rate in the first year of VAT registration.</t>
  </si>
  <si>
    <t>8. The overseas B2B reverse-charge (place-of-supply) position depends on the nature of the supply and the customer.</t>
  </si>
  <si>
    <t xml:space="preserve">   Take specialist advice if you supply services to overseas VAT-registered businesses.</t>
  </si>
  <si>
    <t>9. This model is a starting point. Take specialist advice on your VAT scheme choice.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</si>
</sst>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######"/>
    <numFmt numFmtId="165" formatCode="£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1"/>
    </font>
    <font>
      <color rgb="FF0f172a"/>
    </font>
    <font>
      <b/>
      <color rgb="FFFFFFFF"/>
      <sz val="10"/>
    </font>
    <font>
      <b/>
      <color rgb="FF0f172a"/>
    </font>
    <font>
      <b/>
      <color rgb="FF4f46e5"/>
    </font>
    <font>
      <i/>
      <color rgb="FF64748b"/>
      <sz val="10"/>
    </font>
  </fonts>
  <fills count="5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0f172a"/>
      </patternFill>
    </fill>
    <fill>
      <patternFill patternType="solid">
        <fgColor rgb="FFe0e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10" fontId="0" fillId="0" borderId="0" xfId="0" applyNumberFormat="1"/>
    <xf numFmtId="164" fontId="0" fillId="0" borderId="0" xfId="0" applyNumberFormat="1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3" borderId="0" xfId="0" applyFont="1" applyFill="1" applyAlignment="1">
      <alignment vertical="center"/>
    </xf>
    <xf numFmtId="165" fontId="0" fillId="4" borderId="0" xfId="0" applyNumberFormat="1" applyFill="1" applyProtection="1">
      <protection locked="0"/>
    </xf>
    <xf numFmtId="165" fontId="0" fillId="0" borderId="0" xfId="0" applyNumberFormat="1"/>
    <xf numFmtId="165" fontId="4" fillId="0" borderId="0" xfId="0" applyNumberFormat="1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B6"/>
  <sheetFormatPr defaultRowHeight="15" outlineLevelRow="0" outlineLevelCol="0" x14ac:dyDescent="55"/>
  <cols>
    <col min="1" max="1" width="72" style="1" customWidth="1"/>
    <col min="2" max="2" width="18" customWidth="1"/>
  </cols>
  <sheetData>
    <row r="1" spans="1:2" x14ac:dyDescent="0.25">
      <c r="A1" s="2" t="s">
        <v>0</v>
      </c>
      <c r="B1" s="2"/>
    </row>
    <row r="2" spans="1:2" x14ac:dyDescent="0.25">
      <c r="A2" s="3" t="s">
        <v>1</v>
      </c>
      <c r="B2" s="4">
        <v>0.2</v>
      </c>
    </row>
    <row r="3" spans="1:2" x14ac:dyDescent="0.25">
      <c r="A3" s="3" t="s">
        <v>2</v>
      </c>
      <c r="B3" s="4">
        <v>0.125</v>
      </c>
    </row>
    <row r="4" spans="1:2" x14ac:dyDescent="0.25">
      <c r="A4" s="3" t="s">
        <v>3</v>
      </c>
      <c r="B4" s="4">
        <v>0.165</v>
      </c>
    </row>
    <row r="5" spans="1:2" x14ac:dyDescent="0.25">
      <c r="A5" s="3" t="s">
        <v>4</v>
      </c>
      <c r="B5" s="5">
        <v>1000</v>
      </c>
    </row>
    <row r="6" spans="1:2" x14ac:dyDescent="0.25">
      <c r="A6" s="3" t="s">
        <v>5</v>
      </c>
      <c r="B6" s="4">
        <v>0.02</v>
      </c>
    </row>
  </sheetData>
  <sheetProtection sheet="1"/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172a"/>
  </sheetPr>
  <dimension ref="A1:A7"/>
  <sheetFormatPr defaultRowHeight="15" outlineLevelRow="0" outlineLevelCol="0" x14ac:dyDescent="55"/>
  <cols>
    <col min="1" max="1" width="80" customWidth="1"/>
  </cols>
  <sheetData>
    <row r="1" spans="1:1" x14ac:dyDescent="0.25">
      <c r="A1" s="6" t="s">
        <v>6</v>
      </c>
    </row>
    <row r="2" spans="1:1" x14ac:dyDescent="0.25">
      <c r="A2" s="7" t="s">
        <v>7</v>
      </c>
    </row>
    <row r="3" spans="1:1" x14ac:dyDescent="0.25">
      <c r="A3" s="7" t="s">
        <v>8</v>
      </c>
    </row>
    <row r="4" spans="1:1" x14ac:dyDescent="0.25">
      <c r="A4" s="7" t="s">
        <v>9</v>
      </c>
    </row>
    <row r="5" spans="1:1" x14ac:dyDescent="0.25">
      <c r="A5" s="7" t="s">
        <v>10</v>
      </c>
    </row>
    <row r="6" spans="1:1" x14ac:dyDescent="0.25">
      <c r="A6" s="7" t="s">
        <v>11</v>
      </c>
    </row>
    <row r="7" spans="1:1" x14ac:dyDescent="0.25">
      <c r="A7" s="7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C13"/>
  <sheetFormatPr defaultRowHeight="15" outlineLevelRow="0" outlineLevelCol="0" x14ac:dyDescent="55"/>
  <cols>
    <col min="1" max="1" width="48" customWidth="1"/>
    <col min="2" max="3" width="18" customWidth="1"/>
  </cols>
  <sheetData>
    <row r="1" spans="1:3" x14ac:dyDescent="0.25">
      <c r="A1" s="6" t="s">
        <v>13</v>
      </c>
      <c r="B1" s="8" t="s">
        <v>14</v>
      </c>
      <c r="C1" s="8" t="s">
        <v>15</v>
      </c>
    </row>
    <row r="2" spans="1:2" x14ac:dyDescent="0.25">
      <c r="A2" s="7" t="s">
        <v>16</v>
      </c>
      <c r="B2" s="9">
        <v>180000</v>
      </c>
    </row>
    <row r="3" spans="1:2" x14ac:dyDescent="0.25">
      <c r="A3" s="7" t="s">
        <v>17</v>
      </c>
      <c r="B3" s="9">
        <v>8000</v>
      </c>
    </row>
    <row r="4" spans="1:2" x14ac:dyDescent="0.25">
      <c r="A4" s="7" t="s">
        <v>18</v>
      </c>
      <c r="B4" s="9">
        <v>500</v>
      </c>
    </row>
    <row r="5" spans="1:3" x14ac:dyDescent="0.25">
      <c r="A5" s="6" t="s">
        <v>19</v>
      </c>
      <c r="B5" s="8" t="s">
        <v>20</v>
      </c>
      <c r="C5" s="8" t="s">
        <v>21</v>
      </c>
    </row>
    <row r="6" spans="1:3" x14ac:dyDescent="0.25">
      <c r="A6" s="7" t="s">
        <v>22</v>
      </c>
      <c r="B6" s="10">
        <f>In_Turnover*STD_VAT</f>
      </c>
      <c r="C6" s="10">
        <f>In_Turnover*STD_VAT</f>
      </c>
    </row>
    <row r="7" spans="1:3" x14ac:dyDescent="0.25">
      <c r="A7" s="7" t="s">
        <v>23</v>
      </c>
      <c r="B7" s="10">
        <f>In_Turnover+VatCollected</f>
      </c>
      <c r="C7" s="10">
        <f>In_Turnover+VatCollected</f>
      </c>
    </row>
    <row r="8" spans="1:3" x14ac:dyDescent="0.25">
      <c r="A8" s="7" t="s">
        <v>24</v>
      </c>
      <c r="B8">
        <f>IF(In_GoodsSpend&lt;MAX(LCT_GBP,GrossInclusive*LCT_PCT),"Yes","No")</f>
      </c>
      <c r="C8">
        <f>IF(In_GoodsSpend&lt;MAX(LCT_GBP,GrossInclusive*LCT_PCT),"Yes","No")</f>
      </c>
    </row>
    <row r="9" spans="1:3" x14ac:dyDescent="0.25">
      <c r="A9" s="7" t="s">
        <v>25</v>
      </c>
      <c r="B9" t="s">
        <v>26</v>
      </c>
      <c r="C9" s="4">
        <f>IF(LctFlag="Yes",FRS_LCT,FRS_NORMAL)</f>
      </c>
    </row>
    <row r="10" spans="1:3" x14ac:dyDescent="0.25">
      <c r="A10" s="7" t="s">
        <v>27</v>
      </c>
      <c r="B10" s="11">
        <f>VatCollected-In_VatInputs</f>
      </c>
      <c r="C10" s="11">
        <f>GrossInclusive*In_FlatRate</f>
      </c>
    </row>
    <row r="11" spans="1:3" x14ac:dyDescent="0.25">
      <c r="A11" s="7" t="s">
        <v>28</v>
      </c>
      <c r="B11" s="12">
        <f>IF(StandardNet&lt;FlatPayment,"Standard","Flat Rate")</f>
      </c>
      <c r="C11" s="12">
        <f>IF(StandardNet&lt;FlatPayment,"Standard","Flat Rate")</f>
      </c>
    </row>
    <row r="12" spans="1:3" x14ac:dyDescent="0.25">
      <c r="A12" s="7" t="s">
        <v>29</v>
      </c>
      <c r="B12" s="10">
        <f>ABS(StandardNet-FlatPayment)</f>
      </c>
      <c r="C12" s="10">
        <f>ABS(StandardNet-FlatPayment)</f>
      </c>
    </row>
    <row r="13" spans="1:3" x14ac:dyDescent="0.25">
      <c r="A13" s="7" t="s">
        <v>30</v>
      </c>
      <c r="B13" s="13" t="s">
        <v>31</v>
      </c>
      <c r="C13" s="13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172a"/>
  </sheetPr>
  <dimension ref="A1:A12"/>
  <sheetFormatPr defaultRowHeight="15" outlineLevelRow="0" outlineLevelCol="0" x14ac:dyDescent="55"/>
  <cols>
    <col min="1" max="1" width="90" customWidth="1"/>
  </cols>
  <sheetData>
    <row r="1" spans="1:1" x14ac:dyDescent="0.25">
      <c r="A1" s="6" t="s">
        <v>33</v>
      </c>
    </row>
    <row r="2" spans="1:1" x14ac:dyDescent="0.25">
      <c r="A2" s="13" t="s">
        <v>34</v>
      </c>
    </row>
    <row r="3" spans="1:1" x14ac:dyDescent="0.25">
      <c r="A3" s="13" t="s">
        <v>35</v>
      </c>
    </row>
    <row r="4" spans="1:1" x14ac:dyDescent="0.25">
      <c r="A4" s="13" t="s">
        <v>36</v>
      </c>
    </row>
    <row r="5" spans="1:1" x14ac:dyDescent="0.25">
      <c r="A5" s="13" t="s">
        <v>37</v>
      </c>
    </row>
    <row r="6" spans="1:1" x14ac:dyDescent="0.25">
      <c r="A6" s="13" t="s">
        <v>38</v>
      </c>
    </row>
    <row r="7" spans="1:1" x14ac:dyDescent="0.25">
      <c r="A7" s="13" t="s">
        <v>39</v>
      </c>
    </row>
    <row r="8" spans="1:1" x14ac:dyDescent="0.25">
      <c r="A8" s="13" t="s">
        <v>40</v>
      </c>
    </row>
    <row r="9" spans="1:1" x14ac:dyDescent="0.25">
      <c r="A9" s="13" t="s">
        <v>41</v>
      </c>
    </row>
    <row r="10" spans="1:1" x14ac:dyDescent="0.25">
      <c r="A10" s="13" t="s">
        <v>42</v>
      </c>
    </row>
    <row r="11" spans="1:1" x14ac:dyDescent="0.25">
      <c r="A11" s="13" t="s">
        <v>43</v>
      </c>
    </row>
    <row r="12" spans="1:1" x14ac:dyDescent="0.25">
      <c r="A12" s="13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Rates</vt:lpstr>
      <vt:lpstr>Start here</vt:lpstr>
      <vt:lpstr>Your figures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Agency Founder Finance</dc:creator>
  <dc:title/>
  <dc:subject/>
  <dc:description/>
  <cp:keywords/>
  <cp:category/>
  <cp:lastModifiedBy>Agency Founder Finance</cp:lastModifiedBy>
  <dcterms:created xsi:type="dcterms:W3CDTF">2024-01-01T00:00:00Z</dcterms:created>
  <dcterms:modified xsi:type="dcterms:W3CDTF">2024-01-01T00:00:00Z</dcterms:modified>
</cp:coreProperties>
</file>